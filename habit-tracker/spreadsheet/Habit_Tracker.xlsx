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9.xml.rels" ContentType="application/vnd.openxmlformats-package.relationships+xml"/>
  <Override PartName="/xl/drawings/_rels/drawing12.xml.rels" ContentType="application/vnd.openxmlformats-package.relationships+xml"/>
  <Override PartName="/xl/drawings/_rels/drawing7.xml.rels" ContentType="application/vnd.openxmlformats-package.relationships+xml"/>
  <Override PartName="/xl/drawings/_rels/drawing8.xml.rels" ContentType="application/vnd.openxmlformats-package.relationships+xml"/>
  <Override PartName="/xl/drawings/_rels/drawing11.xml.rels" ContentType="application/vnd.openxmlformats-package.relationships+xml"/>
  <Override PartName="/xl/drawings/_rels/drawing6.xml.rels" ContentType="application/vnd.openxmlformats-package.relationships+xml"/>
  <Override PartName="/xl/drawings/_rels/drawing10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9.xml" ContentType="application/vnd.openxmlformats-officedocument.drawing+xml"/>
  <Override PartName="/xl/charts/chart29.xml" ContentType="application/vnd.openxmlformats-officedocument.drawingml.chart+xml"/>
  <Override PartName="/xl/charts/chart28.xml" ContentType="application/vnd.openxmlformats-officedocument.drawingml.chart+xml"/>
  <Override PartName="/xl/charts/chart27.xml" ContentType="application/vnd.openxmlformats-officedocument.drawingml.chart+xml"/>
  <Override PartName="/xl/charts/chart26.xml" ContentType="application/vnd.openxmlformats-officedocument.drawingml.chart+xml"/>
  <Override PartName="/xl/charts/chart25.xml" ContentType="application/vnd.openxmlformats-officedocument.drawingml.chart+xml"/>
  <Override PartName="/xl/charts/chart24.xml" ContentType="application/vnd.openxmlformats-officedocument.drawingml.chart+xml"/>
  <Override PartName="/xl/charts/chart23.xml" ContentType="application/vnd.openxmlformats-officedocument.drawingml.chart+xml"/>
  <Override PartName="/xl/charts/chart22.xml" ContentType="application/vnd.openxmlformats-officedocument.drawingml.chart+xml"/>
  <Override PartName="/xl/charts/chart21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18.xml" ContentType="application/vnd.openxmlformats-officedocument.drawingml.chart+xml"/>
  <Override PartName="/xl/charts/chart17.xml" ContentType="application/vnd.openxmlformats-officedocument.drawingml.chart+xml"/>
  <Override PartName="/xl/charts/chart16.xml" ContentType="application/vnd.openxmlformats-officedocument.drawingml.chart+xml"/>
  <Override PartName="/xl/charts/chart15.xml" ContentType="application/vnd.openxmlformats-officedocument.drawingml.chart+xml"/>
  <Override PartName="/xl/charts/chart14.xml" ContentType="application/vnd.openxmlformats-officedocument.drawingml.chart+xml"/>
  <Override PartName="/xl/charts/chart1.xml" ContentType="application/vnd.openxmlformats-officedocument.drawingml.chart+xml"/>
  <Override PartName="/xl/charts/chart35.xml" ContentType="application/vnd.openxmlformats-officedocument.drawingml.chart+xml"/>
  <Override PartName="/xl/charts/chart9.xml" ContentType="application/vnd.openxmlformats-officedocument.drawingml.chart+xml"/>
  <Override PartName="/xl/charts/chart43.xml" ContentType="application/vnd.openxmlformats-officedocument.drawingml.chart+xml"/>
  <Override PartName="/xl/charts/chart40.xml" ContentType="application/vnd.openxmlformats-officedocument.drawingml.chart+xml"/>
  <Override PartName="/xl/charts/chart6.xml" ContentType="application/vnd.openxmlformats-officedocument.drawingml.chart+xml"/>
  <Override PartName="/xl/charts/chart41.xml" ContentType="application/vnd.openxmlformats-officedocument.drawingml.chart+xml"/>
  <Override PartName="/xl/charts/chart7.xml" ContentType="application/vnd.openxmlformats-officedocument.drawingml.chart+xml"/>
  <Override PartName="/xl/charts/chart30.xml" ContentType="application/vnd.openxmlformats-officedocument.drawingml.chart+xml"/>
  <Override PartName="/xl/charts/chart42.xml" ContentType="application/vnd.openxmlformats-officedocument.drawingml.chart+xml"/>
  <Override PartName="/xl/charts/chart8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44.xml" ContentType="application/vnd.openxmlformats-officedocument.drawingml.chart+xml"/>
  <Override PartName="/xl/charts/chart33.xml" ContentType="application/vnd.openxmlformats-officedocument.drawingml.chart+xml"/>
  <Override PartName="/xl/charts/chart45.xml" ContentType="application/vnd.openxmlformats-officedocument.drawingml.chart+xml"/>
  <Override PartName="/xl/charts/chart34.xml" ContentType="application/vnd.openxmlformats-officedocument.drawingml.chart+xml"/>
  <Override PartName="/xl/charts/chart46.xml" ContentType="application/vnd.openxmlformats-officedocument.drawingml.chart+xml"/>
  <Override PartName="/xl/charts/chart13.xml" ContentType="application/vnd.openxmlformats-officedocument.drawingml.chart+xml"/>
  <Override PartName="/xl/charts/chart11.xml" ContentType="application/vnd.openxmlformats-officedocument.drawingml.chart+xml"/>
  <Override PartName="/xl/charts/chart48.xml" ContentType="application/vnd.openxmlformats-officedocument.drawingml.chart+xml"/>
  <Override PartName="/xl/charts/chart12.xml" ContentType="application/vnd.openxmlformats-officedocument.drawingml.chart+xml"/>
  <Override PartName="/xl/charts/chart10.xml" ContentType="application/vnd.openxmlformats-officedocument.drawingml.chart+xml"/>
  <Override PartName="/xl/charts/chart47.xml" ContentType="application/vnd.openxmlformats-officedocument.drawingml.chart+xml"/>
  <Override PartName="/xl/charts/chart39.xml" ContentType="application/vnd.openxmlformats-officedocument.drawingml.chart+xml"/>
  <Override PartName="/xl/charts/chart5.xml" ContentType="application/vnd.openxmlformats-officedocument.drawingml.chart+xml"/>
  <Override PartName="/xl/charts/chart38.xml" ContentType="application/vnd.openxmlformats-officedocument.drawingml.chart+xml"/>
  <Override PartName="/xl/charts/chart4.xml" ContentType="application/vnd.openxmlformats-officedocument.drawingml.chart+xml"/>
  <Override PartName="/xl/charts/chart2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9"/>
  </bookViews>
  <sheets>
    <sheet name="January" sheetId="1" state="visible" r:id="rId3"/>
    <sheet name="February" sheetId="2" state="visible" r:id="rId4"/>
    <sheet name="March" sheetId="3" state="visible" r:id="rId5"/>
    <sheet name="April" sheetId="4" state="visible" r:id="rId6"/>
    <sheet name="May" sheetId="5" state="visible" r:id="rId7"/>
    <sheet name="June" sheetId="6" state="visible" r:id="rId8"/>
    <sheet name="July" sheetId="7" state="visible" r:id="rId9"/>
    <sheet name="August" sheetId="8" state="visible" r:id="rId10"/>
    <sheet name="September" sheetId="9" state="visible" r:id="rId11"/>
    <sheet name="October" sheetId="10" state="visible" r:id="rId12"/>
    <sheet name="November" sheetId="11" state="visible" r:id="rId13"/>
    <sheet name="December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<sst xmlns="http://schemas.openxmlformats.org/spreadsheetml/2006/main" count="720" uniqueCount="50">
  <si>
    <t xml:space="preserve">January</t>
  </si>
  <si>
    <t xml:space="preserve">HABIT TRACKER</t>
  </si>
  <si>
    <t xml:space="preserve">Daily Progress</t>
  </si>
  <si>
    <t xml:space="preserve">Weekly Progress</t>
  </si>
  <si>
    <t xml:space="preserve">Goal</t>
  </si>
  <si>
    <t xml:space="preserve">Overall Stats</t>
  </si>
  <si>
    <t xml:space="preserve">MonthNo</t>
  </si>
  <si>
    <t xml:space="preserve">February</t>
  </si>
  <si>
    <t xml:space="preserve">Days</t>
  </si>
  <si>
    <t xml:space="preserve">March</t>
  </si>
  <si>
    <t xml:space="preserve">April</t>
  </si>
  <si>
    <t xml:space="preserve">SETTINGS</t>
  </si>
  <si>
    <t xml:space="preserve">Completed</t>
  </si>
  <si>
    <t xml:space="preserve">May</t>
  </si>
  <si>
    <t xml:space="preserve">Year</t>
  </si>
  <si>
    <t xml:space="preserve">Left</t>
  </si>
  <si>
    <t xml:space="preserve">June</t>
  </si>
  <si>
    <t xml:space="preserve">July</t>
  </si>
  <si>
    <t xml:space="preserve">Month</t>
  </si>
  <si>
    <t xml:space="preserve">Week 1</t>
  </si>
  <si>
    <t xml:space="preserve">August</t>
  </si>
  <si>
    <t xml:space="preserve">Week 2</t>
  </si>
  <si>
    <t xml:space="preserve">September</t>
  </si>
  <si>
    <t xml:space="preserve">How to use: tick the boxes each day; pick Mood (1-10) and Sleep (hrs) below the grid; rename habits in column B. Blue text = editable.</t>
  </si>
  <si>
    <t xml:space="preserve">Week 3</t>
  </si>
  <si>
    <t xml:space="preserve">October</t>
  </si>
  <si>
    <t xml:space="preserve">Week 4</t>
  </si>
  <si>
    <t xml:space="preserve">November</t>
  </si>
  <si>
    <t xml:space="preserve">Week 5</t>
  </si>
  <si>
    <t xml:space="preserve">December</t>
  </si>
  <si>
    <t xml:space="preserve">My Habits</t>
  </si>
  <si>
    <t xml:space="preserve">Analysis</t>
  </si>
  <si>
    <t xml:space="preserve">Actual</t>
  </si>
  <si>
    <t xml:space="preserve">Progress</t>
  </si>
  <si>
    <t xml:space="preserve">%</t>
  </si>
  <si>
    <t xml:space="preserve">Wake up at 05:00 ⏰</t>
  </si>
  <si>
    <t xml:space="preserve">Stretching 🧘</t>
  </si>
  <si>
    <t xml:space="preserve">Gym 💪</t>
  </si>
  <si>
    <t xml:space="preserve">Reading / Learning 📖</t>
  </si>
  <si>
    <t xml:space="preserve">Day Planning 📅</t>
  </si>
  <si>
    <t xml:space="preserve">Project Work 🎯</t>
  </si>
  <si>
    <t xml:space="preserve">No Alcohol 🚫</t>
  </si>
  <si>
    <t xml:space="preserve">Social Media Detox 🌿</t>
  </si>
  <si>
    <t xml:space="preserve">Goal Journaling 📒</t>
  </si>
  <si>
    <t xml:space="preserve">Cold Shower 🚿</t>
  </si>
  <si>
    <t xml:space="preserve">Daily %</t>
  </si>
  <si>
    <t xml:space="preserve">Overall Wellness</t>
  </si>
  <si>
    <t xml:space="preserve">TOP 10 HABITS</t>
  </si>
  <si>
    <t xml:space="preserve">Mood (1-10)</t>
  </si>
  <si>
    <t xml:space="preserve">Hours of Sleep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</si>
</sst>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%"/>
    <numFmt numFmtId="167" formatCode=";;;"/>
    <numFmt numFmtId="168" formatCode="0.00%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1F2433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1F2433"/>
      <name val="Arial"/>
      <family val="0"/>
      <charset val="1"/>
    </font>
    <font>
      <b val="true"/>
      <sz val="18"/>
      <color rgb="FF1F2433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8"/>
      <color rgb="FF8A8678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7"/>
      <color rgb="FF1F2433"/>
      <name val="Arial"/>
      <family val="0"/>
      <charset val="1"/>
    </font>
    <font>
      <b val="true"/>
      <sz val="9"/>
      <color rgb="FF1F2433"/>
      <name val="Arial"/>
      <family val="0"/>
      <charset val="1"/>
    </font>
    <font>
      <sz val="7"/>
      <color rgb="FF8A86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8"/>
      <color rgb="FF0000FF"/>
      <name val="Arial"/>
      <family val="0"/>
      <charset val="1"/>
    </font>
    <font>
      <sz val="9"/>
      <color rgb="FF8A8678"/>
      <name val="Arial"/>
      <family val="0"/>
      <charset val="1"/>
    </font>
    <font>
      <sz val="10"/>
      <color rgb="FF1F2433"/>
      <name val="Arial"/>
      <family val="0"/>
      <charset val="1"/>
    </font>
    <font>
      <sz val="10"/>
      <color rgb="FF000000"/>
      <name val="Calibri"/>
      <family val="2"/>
    </font>
    <font>
      <b val="true"/>
      <sz val="11"/>
      <color rgb="FF1F2433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4F1EA"/>
        <bgColor rgb="FFFFFFFF"/>
      </patternFill>
    </fill>
    <fill>
      <patternFill patternType="solid">
        <fgColor rgb="FF1F2433"/>
        <bgColor rgb="FF333300"/>
      </patternFill>
    </fill>
    <fill>
      <patternFill patternType="solid">
        <fgColor rgb="FFE4E0D6"/>
        <bgColor rgb="FFDDD8CC"/>
      </patternFill>
    </fill>
    <fill>
      <patternFill patternType="solid">
        <fgColor rgb="FFFFFFFF"/>
        <bgColor rgb="FFF4F1EA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4A5268"/>
      </left>
      <right style="thin">
        <color rgb="FF4A5268"/>
      </right>
      <top style="thin">
        <color rgb="FF4A5268"/>
      </top>
      <bottom style="thin">
        <color rgb="FF4A5268"/>
      </bottom>
      <diagonal/>
    </border>
    <border diagonalUp="false" diagonalDown="false">
      <left/>
      <right/>
      <top/>
      <bottom style="thin">
        <color rgb="FF4A5268"/>
      </bottom>
      <diagonal/>
    </border>
    <border diagonalUp="false" diagonalDown="false">
      <left style="thin">
        <color rgb="FFC9C5BB"/>
      </left>
      <right style="thin">
        <color rgb="FFC9C5BB"/>
      </right>
      <top style="thin">
        <color rgb="FFC9C5BB"/>
      </top>
      <bottom style="thin">
        <color rgb="FFC9C5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4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6" fontId="1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3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color rgb="FFC9C5BB"/>
      </font>
      <fill>
        <patternFill>
          <bgColor rgb="FFC9C5BB"/>
        </patternFill>
      </fill>
    </dxf>
    <dxf>
      <font>
        <b val="1"/>
        <color rgb="FF1F2433"/>
      </font>
      <fill>
        <patternFill>
          <bgColor rgb="FFD5D9E4"/>
        </patternFill>
      </fill>
    </dxf>
    <dxf>
      <font>
        <color rgb="FFB8B4AA"/>
      </font>
    </dxf>
    <dxf>
      <fill>
        <patternFill>
          <bgColor rgb="FFC9C5B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5BB"/>
      <rgbColor rgb="FF878787"/>
      <rgbColor rgb="FF9999FF"/>
      <rgbColor rgb="FF993366"/>
      <rgbColor rgb="FFF4F1EA"/>
      <rgbColor rgb="FFD9D9D9"/>
      <rgbColor rgb="FF660066"/>
      <rgbColor rgb="FFFF8080"/>
      <rgbColor rgb="FF0066CC"/>
      <rgbColor rgb="FFD5D9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4E0D6"/>
      <rgbColor rgb="FFFFFF99"/>
      <rgbColor rgb="FF99CCFF"/>
      <rgbColor rgb="FFFF99CC"/>
      <rgbColor rgb="FFB8B4AA"/>
      <rgbColor rgb="FFDDD8CC"/>
      <rgbColor rgb="FF3366FF"/>
      <rgbColor rgb="FF33CCCC"/>
      <rgbColor rgb="FF99CC00"/>
      <rgbColor rgb="FFFFCC00"/>
      <rgbColor rgb="FFFF9900"/>
      <rgbColor rgb="FFFF6600"/>
      <rgbColor rgb="FF4F81BD"/>
      <rgbColor rgb="FF8A8678"/>
      <rgbColor rgb="FF003366"/>
      <rgbColor rgb="FF5C8A5A"/>
      <rgbColor rgb="FF003300"/>
      <rgbColor rgb="FF333300"/>
      <rgbColor rgb="FF993300"/>
      <rgbColor rgb="FF993366"/>
      <rgbColor rgb="FF4A5268"/>
      <rgbColor rgb="FF1F24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f2433"/>
            </a:solidFill>
            <a:ln w="0">
              <a:solidFill>
                <a:srgbClr val="1f2433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January!$C$48:$AG$48</c:f>
              <c:strCache>
                <c:ptCount val="31"/>
                <c:pt idx="0">
                  <c:v>Th</c:v>
                </c:pt>
                <c:pt idx="1">
                  <c:v>Fr</c:v>
                </c:pt>
                <c:pt idx="2">
                  <c:v>Sa</c:v>
                </c:pt>
                <c:pt idx="3">
                  <c:v>Su</c:v>
                </c:pt>
                <c:pt idx="4">
                  <c:v>Mo</c:v>
                </c:pt>
                <c:pt idx="5">
                  <c:v>Tu</c:v>
                </c:pt>
                <c:pt idx="6">
                  <c:v>We</c:v>
                </c:pt>
                <c:pt idx="7">
                  <c:v>Th</c:v>
                </c:pt>
                <c:pt idx="8">
                  <c:v>Fr</c:v>
                </c:pt>
                <c:pt idx="9">
                  <c:v>Sa</c:v>
                </c:pt>
                <c:pt idx="10">
                  <c:v>Su</c:v>
                </c:pt>
                <c:pt idx="11">
                  <c:v>Mo</c:v>
                </c:pt>
                <c:pt idx="12">
                  <c:v>Tu</c:v>
                </c:pt>
                <c:pt idx="13">
                  <c:v>We</c:v>
                </c:pt>
                <c:pt idx="14">
                  <c:v>Th</c:v>
                </c:pt>
                <c:pt idx="15">
                  <c:v>Fr</c:v>
                </c:pt>
                <c:pt idx="16">
                  <c:v>Sa</c:v>
                </c:pt>
                <c:pt idx="17">
                  <c:v>Su</c:v>
                </c:pt>
                <c:pt idx="18">
                  <c:v>Mo</c:v>
                </c:pt>
                <c:pt idx="19">
                  <c:v>Tu</c:v>
                </c:pt>
                <c:pt idx="20">
                  <c:v>We</c:v>
                </c:pt>
                <c:pt idx="21">
                  <c:v>Th</c:v>
                </c:pt>
                <c:pt idx="22">
                  <c:v>Fr</c:v>
                </c:pt>
                <c:pt idx="23">
                  <c:v>Sa</c:v>
                </c:pt>
                <c:pt idx="24">
                  <c:v>Su</c:v>
                </c:pt>
                <c:pt idx="25">
                  <c:v>Mo</c:v>
                </c:pt>
                <c:pt idx="26">
                  <c:v>Tu</c:v>
                </c:pt>
                <c:pt idx="27">
                  <c:v>We</c:v>
                </c:pt>
                <c:pt idx="28">
                  <c:v>Th</c:v>
                </c:pt>
                <c:pt idx="29">
                  <c:v>Fr</c:v>
                </c:pt>
                <c:pt idx="30">
                  <c:v>Sa</c:v>
                </c:pt>
              </c:strCache>
            </c:strRef>
          </c:cat>
          <c:val>
            <c:numRef>
              <c:f>January!$C$29:$AG$29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gapWidth val="40"/>
        <c:overlap val="0"/>
        <c:axId val="38056918"/>
        <c:axId val="38427864"/>
      </c:barChart>
      <c:catAx>
        <c:axId val="3805691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427864"/>
        <c:crosses val="autoZero"/>
        <c:auto val="1"/>
        <c:lblAlgn val="ctr"/>
        <c:lblOffset val="100"/>
        <c:noMultiLvlLbl val="0"/>
      </c:catAx>
      <c:valAx>
        <c:axId val="38427864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ddd8cc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056918"/>
        <c:crosses val="autoZero"/>
        <c:crossBetween val="between"/>
        <c:majorUnit val="0.25"/>
      </c:valAx>
      <c:spPr>
        <a:noFill/>
        <a:ln w="0">
          <a:noFill/>
        </a:ln>
      </c:spPr>
    </c:plotArea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f2433"/>
            </a:solidFill>
            <a:ln w="0">
              <a:solidFill>
                <a:srgbClr val="1f2433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January!$AO$8:$AO$12</c:f>
              <c:strCache>
                <c:ptCount val="5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</c:strCache>
            </c:strRef>
          </c:cat>
          <c:val>
            <c:numRef>
              <c:f>January!$AP$8:$AP$12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40"/>
        <c:overlap val="0"/>
        <c:axId val="27014365"/>
        <c:axId val="22563787"/>
      </c:barChart>
      <c:catAx>
        <c:axId val="2701436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563787"/>
        <c:crosses val="autoZero"/>
        <c:auto val="1"/>
        <c:lblAlgn val="ctr"/>
        <c:lblOffset val="100"/>
        <c:noMultiLvlLbl val="0"/>
      </c:catAx>
      <c:valAx>
        <c:axId val="22563787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ddd8cc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014365"/>
        <c:crosses val="autoZero"/>
        <c:crossBetween val="between"/>
        <c:majorUnit val="0.25"/>
      </c:valAx>
      <c:spPr>
        <a:noFill/>
        <a:ln w="0">
          <a:noFill/>
        </a:ln>
      </c:spPr>
    </c:plotArea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1f2433"/>
              </a:solidFill>
              <a:ln w="0">
                <a:solidFill>
                  <a:srgbClr val="f4f1ea"/>
                </a:solidFill>
              </a:ln>
            </c:spPr>
          </c:dPt>
          <c:dPt>
            <c:idx val="1"/>
            <c:spPr>
              <a:solidFill>
                <a:srgbClr val="c9c5bb"/>
              </a:solidFill>
              <a:ln w="0">
                <a:solidFill>
                  <a:srgbClr val="f4f1ea"/>
                </a:solidFill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January!$AO$5:$AO$6</c:f>
              <c:strCache>
                <c:ptCount val="2"/>
                <c:pt idx="0">
                  <c:v>Completed</c:v>
                </c:pt>
                <c:pt idx="1">
                  <c:v>Left</c:v>
                </c:pt>
              </c:strCache>
            </c:strRef>
          </c:cat>
          <c:val>
            <c:numRef>
              <c:f>January!$AP$5:$AP$6</c:f>
              <c:numCache>
                <c:formatCode>General</c:formatCode>
                <c:ptCount val="2"/>
                <c:pt idx="0">
                  <c:v>0</c:v>
                </c:pt>
                <c:pt idx="1">
                  <c:v>310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January!B32</c:f>
              <c:strCache>
                <c:ptCount val="1"/>
                <c:pt idx="0">
                  <c:v>Mood (1-10)</c:v>
                </c:pt>
              </c:strCache>
            </c:strRef>
          </c:tx>
          <c:spPr>
            <a:solidFill>
              <a:srgbClr val="5c8a5a"/>
            </a:solidFill>
            <a:ln w="21960">
              <a:solidFill>
                <a:srgbClr val="5c8a5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January!$C$16:$AG$16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January!$C$32:$AG$32</c:f>
              <c:numCache>
                <c:formatCode>General</c:formatCode>
                <c:ptCount val="31"/>
              </c:numCache>
            </c:numRef>
          </c:val>
          <c:smooth val="1"/>
        </c:ser>
        <c:ser>
          <c:idx val="1"/>
          <c:order val="1"/>
          <c:tx>
            <c:strRef>
              <c:f>January!B33</c:f>
              <c:strCache>
                <c:ptCount val="1"/>
                <c:pt idx="0">
                  <c:v>Hours of Sleep</c:v>
                </c:pt>
              </c:strCache>
            </c:strRef>
          </c:tx>
          <c:spPr>
            <a:solidFill>
              <a:srgbClr val="1f2433"/>
            </a:solidFill>
            <a:ln w="21960">
              <a:solidFill>
                <a:srgbClr val="1f243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January!$C$16:$AG$16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January!$C$33:$AG$33</c:f>
              <c:numCache>
                <c:formatCode>General</c:formatCode>
                <c:ptCount val="31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3200385"/>
        <c:axId val="80824584"/>
      </c:lineChart>
      <c:catAx>
        <c:axId val="6320038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824584"/>
        <c:crosses val="autoZero"/>
        <c:auto val="1"/>
        <c:lblAlgn val="ctr"/>
        <c:lblOffset val="100"/>
        <c:noMultiLvlLbl val="0"/>
      </c:catAx>
      <c:valAx>
        <c:axId val="80824584"/>
        <c:scaling>
          <c:orientation val="minMax"/>
          <c:max val="12"/>
          <c:min val="0"/>
        </c:scaling>
        <c:delete val="0"/>
        <c:axPos val="l"/>
        <c:majorGridlines>
          <c:spPr>
            <a:ln w="9360">
              <a:solidFill>
                <a:srgbClr val="ddd8cc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200385"/>
        <c:crosses val="autoZero"/>
        <c:crossBetween val="between"/>
        <c:majorUnit val="2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f2433"/>
            </a:solidFill>
            <a:ln w="0">
              <a:solidFill>
                <a:srgbClr val="1f2433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February!$C$48:$AG$48</c:f>
              <c:strCache>
                <c:ptCount val="31"/>
                <c:pt idx="0">
                  <c:v>Su</c:v>
                </c:pt>
                <c:pt idx="1">
                  <c:v>Mo</c:v>
                </c:pt>
                <c:pt idx="2">
                  <c:v>Tu</c:v>
                </c:pt>
                <c:pt idx="3">
                  <c:v>We</c:v>
                </c:pt>
                <c:pt idx="4">
                  <c:v>Th</c:v>
                </c:pt>
                <c:pt idx="5">
                  <c:v>Fr</c:v>
                </c:pt>
                <c:pt idx="6">
                  <c:v>Sa</c:v>
                </c:pt>
                <c:pt idx="7">
                  <c:v>Su</c:v>
                </c:pt>
                <c:pt idx="8">
                  <c:v>Mo</c:v>
                </c:pt>
                <c:pt idx="9">
                  <c:v>Tu</c:v>
                </c:pt>
                <c:pt idx="10">
                  <c:v>We</c:v>
                </c:pt>
                <c:pt idx="11">
                  <c:v>Th</c:v>
                </c:pt>
                <c:pt idx="12">
                  <c:v>Fr</c:v>
                </c:pt>
                <c:pt idx="13">
                  <c:v>Sa</c:v>
                </c:pt>
                <c:pt idx="14">
                  <c:v>Su</c:v>
                </c:pt>
                <c:pt idx="15">
                  <c:v>Mo</c:v>
                </c:pt>
                <c:pt idx="16">
                  <c:v>Tu</c:v>
                </c:pt>
                <c:pt idx="17">
                  <c:v>We</c:v>
                </c:pt>
                <c:pt idx="18">
                  <c:v>Th</c:v>
                </c:pt>
                <c:pt idx="19">
                  <c:v>Fr</c:v>
                </c:pt>
                <c:pt idx="20">
                  <c:v>Sa</c:v>
                </c:pt>
                <c:pt idx="21">
                  <c:v>Su</c:v>
                </c:pt>
                <c:pt idx="22">
                  <c:v>Mo</c:v>
                </c:pt>
                <c:pt idx="23">
                  <c:v>Tu</c:v>
                </c:pt>
                <c:pt idx="24">
                  <c:v>We</c:v>
                </c:pt>
                <c:pt idx="25">
                  <c:v>Th</c:v>
                </c:pt>
                <c:pt idx="26">
                  <c:v>Fr</c:v>
                </c:pt>
                <c:pt idx="27">
                  <c:v>Sa</c:v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</c:strCache>
            </c:strRef>
          </c:cat>
          <c:val>
            <c:numRef>
              <c:f>February!$C$29:$AG$29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</c:ser>
        <c:gapWidth val="40"/>
        <c:overlap val="0"/>
        <c:axId val="5745547"/>
        <c:axId val="91528202"/>
      </c:barChart>
      <c:catAx>
        <c:axId val="57455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528202"/>
        <c:crosses val="autoZero"/>
        <c:auto val="1"/>
        <c:lblAlgn val="ctr"/>
        <c:lblOffset val="100"/>
        <c:noMultiLvlLbl val="0"/>
      </c:catAx>
      <c:valAx>
        <c:axId val="91528202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ddd8cc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45547"/>
        <c:crosses val="autoZero"/>
        <c:crossBetween val="between"/>
        <c:majorUnit val="0.25"/>
      </c:valAx>
      <c:spPr>
        <a:noFill/>
        <a:ln w="0">
          <a:noFill/>
        </a:ln>
      </c:spPr>
    </c:plotArea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f2433"/>
            </a:solidFill>
            <a:ln w="0">
              <a:solidFill>
                <a:srgbClr val="1f2433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February!$AO$8:$AO$12</c:f>
              <c:strCache>
                <c:ptCount val="5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</c:strCache>
            </c:strRef>
          </c:cat>
          <c:val>
            <c:numRef>
              <c:f>February!$AP$8:$AP$12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40"/>
        <c:overlap val="0"/>
        <c:axId val="94446847"/>
        <c:axId val="56091002"/>
      </c:barChart>
      <c:catAx>
        <c:axId val="94446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091002"/>
        <c:crosses val="autoZero"/>
        <c:auto val="1"/>
        <c:lblAlgn val="ctr"/>
        <c:lblOffset val="100"/>
        <c:noMultiLvlLbl val="0"/>
      </c:catAx>
      <c:valAx>
        <c:axId val="56091002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ddd8cc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446847"/>
        <c:crosses val="autoZero"/>
        <c:crossBetween val="between"/>
        <c:majorUnit val="0.25"/>
      </c:valAx>
      <c:spPr>
        <a:noFill/>
        <a:ln w="0">
          <a:noFill/>
        </a:ln>
      </c:spPr>
    </c:plotArea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1f2433"/>
              </a:solidFill>
              <a:ln w="0">
                <a:solidFill>
                  <a:srgbClr val="f4f1ea"/>
                </a:solidFill>
              </a:ln>
            </c:spPr>
          </c:dPt>
          <c:dPt>
            <c:idx val="1"/>
            <c:spPr>
              <a:solidFill>
                <a:srgbClr val="c9c5bb"/>
              </a:solidFill>
              <a:ln w="0">
                <a:solidFill>
                  <a:srgbClr val="f4f1ea"/>
                </a:solidFill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February!$AO$5:$AO$6</c:f>
              <c:strCache>
                <c:ptCount val="2"/>
                <c:pt idx="0">
                  <c:v>Completed</c:v>
                </c:pt>
                <c:pt idx="1">
                  <c:v>Left</c:v>
                </c:pt>
              </c:strCache>
            </c:strRef>
          </c:cat>
          <c:val>
            <c:numRef>
              <c:f>February!$AP$5:$AP$6</c:f>
              <c:numCache>
                <c:formatCode>General</c:formatCode>
                <c:ptCount val="2"/>
                <c:pt idx="0">
                  <c:v>0</c:v>
                </c:pt>
                <c:pt idx="1">
                  <c:v>280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February!B32</c:f>
              <c:strCache>
                <c:ptCount val="1"/>
                <c:pt idx="0">
                  <c:v>Mood (1-10)</c:v>
                </c:pt>
              </c:strCache>
            </c:strRef>
          </c:tx>
          <c:spPr>
            <a:solidFill>
              <a:srgbClr val="5c8a5a"/>
            </a:solidFill>
            <a:ln w="21960">
              <a:solidFill>
                <a:srgbClr val="5c8a5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February!$C$16:$AG$16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</c:strCache>
            </c:strRef>
          </c:cat>
          <c:val>
            <c:numRef>
              <c:f>February!$C$32:$AG$32</c:f>
              <c:numCache>
                <c:formatCode>General</c:formatCode>
                <c:ptCount val="31"/>
              </c:numCache>
            </c:numRef>
          </c:val>
          <c:smooth val="1"/>
        </c:ser>
        <c:ser>
          <c:idx val="1"/>
          <c:order val="1"/>
          <c:tx>
            <c:strRef>
              <c:f>February!B33</c:f>
              <c:strCache>
                <c:ptCount val="1"/>
                <c:pt idx="0">
                  <c:v>Hours of Sleep</c:v>
                </c:pt>
              </c:strCache>
            </c:strRef>
          </c:tx>
          <c:spPr>
            <a:solidFill>
              <a:srgbClr val="1f2433"/>
            </a:solidFill>
            <a:ln w="21960">
              <a:solidFill>
                <a:srgbClr val="1f243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February!$C$16:$AG$16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</c:strCache>
            </c:strRef>
          </c:cat>
          <c:val>
            <c:numRef>
              <c:f>February!$C$33:$AG$33</c:f>
              <c:numCache>
                <c:formatCode>General</c:formatCode>
                <c:ptCount val="31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225418"/>
        <c:axId val="48900774"/>
      </c:lineChart>
      <c:catAx>
        <c:axId val="322541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900774"/>
        <c:crosses val="autoZero"/>
        <c:auto val="1"/>
        <c:lblAlgn val="ctr"/>
        <c:lblOffset val="100"/>
        <c:noMultiLvlLbl val="0"/>
      </c:catAx>
      <c:valAx>
        <c:axId val="48900774"/>
        <c:scaling>
          <c:orientation val="minMax"/>
          <c:max val="12"/>
          <c:min val="0"/>
        </c:scaling>
        <c:delete val="0"/>
        <c:axPos val="l"/>
        <c:majorGridlines>
          <c:spPr>
            <a:ln w="9360">
              <a:solidFill>
                <a:srgbClr val="ddd8cc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25418"/>
        <c:crosses val="autoZero"/>
        <c:crossBetween val="between"/>
        <c:majorUnit val="2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f2433"/>
            </a:solidFill>
            <a:ln w="0">
              <a:solidFill>
                <a:srgbClr val="1f2433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March!$C$48:$AG$48</c:f>
              <c:strCache>
                <c:ptCount val="31"/>
                <c:pt idx="0">
                  <c:v>Su</c:v>
                </c:pt>
                <c:pt idx="1">
                  <c:v>Mo</c:v>
                </c:pt>
                <c:pt idx="2">
                  <c:v>Tu</c:v>
                </c:pt>
                <c:pt idx="3">
                  <c:v>We</c:v>
                </c:pt>
                <c:pt idx="4">
                  <c:v>Th</c:v>
                </c:pt>
                <c:pt idx="5">
                  <c:v>Fr</c:v>
                </c:pt>
                <c:pt idx="6">
                  <c:v>Sa</c:v>
                </c:pt>
                <c:pt idx="7">
                  <c:v>Su</c:v>
                </c:pt>
                <c:pt idx="8">
                  <c:v>Mo</c:v>
                </c:pt>
                <c:pt idx="9">
                  <c:v>Tu</c:v>
                </c:pt>
                <c:pt idx="10">
                  <c:v>We</c:v>
                </c:pt>
                <c:pt idx="11">
                  <c:v>Th</c:v>
                </c:pt>
                <c:pt idx="12">
                  <c:v>Fr</c:v>
                </c:pt>
                <c:pt idx="13">
                  <c:v>Sa</c:v>
                </c:pt>
                <c:pt idx="14">
                  <c:v>Su</c:v>
                </c:pt>
                <c:pt idx="15">
                  <c:v>Mo</c:v>
                </c:pt>
                <c:pt idx="16">
                  <c:v>Tu</c:v>
                </c:pt>
                <c:pt idx="17">
                  <c:v>We</c:v>
                </c:pt>
                <c:pt idx="18">
                  <c:v>Th</c:v>
                </c:pt>
                <c:pt idx="19">
                  <c:v>Fr</c:v>
                </c:pt>
                <c:pt idx="20">
                  <c:v>Sa</c:v>
                </c:pt>
                <c:pt idx="21">
                  <c:v>Su</c:v>
                </c:pt>
                <c:pt idx="22">
                  <c:v>Mo</c:v>
                </c:pt>
                <c:pt idx="23">
                  <c:v>Tu</c:v>
                </c:pt>
                <c:pt idx="24">
                  <c:v>We</c:v>
                </c:pt>
                <c:pt idx="25">
                  <c:v>Th</c:v>
                </c:pt>
                <c:pt idx="26">
                  <c:v>Fr</c:v>
                </c:pt>
                <c:pt idx="27">
                  <c:v>Sa</c:v>
                </c:pt>
                <c:pt idx="28">
                  <c:v>Su</c:v>
                </c:pt>
                <c:pt idx="29">
                  <c:v>Mo</c:v>
                </c:pt>
                <c:pt idx="30">
                  <c:v>Tu</c:v>
                </c:pt>
              </c:strCache>
            </c:strRef>
          </c:cat>
          <c:val>
            <c:numRef>
              <c:f>March!$C$29:$AG$29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gapWidth val="40"/>
        <c:overlap val="0"/>
        <c:axId val="17800800"/>
        <c:axId val="53945931"/>
      </c:barChart>
      <c:catAx>
        <c:axId val="17800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945931"/>
        <c:crosses val="autoZero"/>
        <c:auto val="1"/>
        <c:lblAlgn val="ctr"/>
        <c:lblOffset val="100"/>
        <c:noMultiLvlLbl val="0"/>
      </c:catAx>
      <c:valAx>
        <c:axId val="53945931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ddd8cc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800800"/>
        <c:crosses val="autoZero"/>
        <c:crossBetween val="between"/>
        <c:majorUnit val="0.25"/>
      </c:valAx>
      <c:spPr>
        <a:noFill/>
        <a:ln w="0">
          <a:noFill/>
        </a:ln>
      </c:spPr>
    </c:plotArea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f2433"/>
            </a:solidFill>
            <a:ln w="0">
              <a:solidFill>
                <a:srgbClr val="1f2433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March!$AO$8:$AO$12</c:f>
              <c:strCache>
                <c:ptCount val="5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</c:strCache>
            </c:strRef>
          </c:cat>
          <c:val>
            <c:numRef>
              <c:f>March!$AP$8:$AP$12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40"/>
        <c:overlap val="0"/>
        <c:axId val="75152948"/>
        <c:axId val="50492630"/>
      </c:barChart>
      <c:catAx>
        <c:axId val="751529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492630"/>
        <c:crosses val="autoZero"/>
        <c:auto val="1"/>
        <c:lblAlgn val="ctr"/>
        <c:lblOffset val="100"/>
        <c:noMultiLvlLbl val="0"/>
      </c:catAx>
      <c:valAx>
        <c:axId val="50492630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ddd8cc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152948"/>
        <c:crosses val="autoZero"/>
        <c:crossBetween val="between"/>
        <c:majorUnit val="0.25"/>
      </c:valAx>
      <c:spPr>
        <a:noFill/>
        <a:ln w="0">
          <a:noFill/>
        </a:ln>
      </c:spPr>
    </c:plotArea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1f2433"/>
              </a:solidFill>
              <a:ln w="0">
                <a:solidFill>
                  <a:srgbClr val="f4f1ea"/>
                </a:solidFill>
              </a:ln>
            </c:spPr>
          </c:dPt>
          <c:dPt>
            <c:idx val="1"/>
            <c:spPr>
              <a:solidFill>
                <a:srgbClr val="c9c5bb"/>
              </a:solidFill>
              <a:ln w="0">
                <a:solidFill>
                  <a:srgbClr val="f4f1ea"/>
                </a:solidFill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March!$AO$5:$AO$6</c:f>
              <c:strCache>
                <c:ptCount val="2"/>
                <c:pt idx="0">
                  <c:v>Completed</c:v>
                </c:pt>
                <c:pt idx="1">
                  <c:v>Left</c:v>
                </c:pt>
              </c:strCache>
            </c:strRef>
          </c:cat>
          <c:val>
            <c:numRef>
              <c:f>March!$AP$5:$AP$6</c:f>
              <c:numCache>
                <c:formatCode>General</c:formatCode>
                <c:ptCount val="2"/>
                <c:pt idx="0">
                  <c:v>0</c:v>
                </c:pt>
                <c:pt idx="1">
                  <c:v>310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March!B32</c:f>
              <c:strCache>
                <c:ptCount val="1"/>
                <c:pt idx="0">
                  <c:v>Mood (1-10)</c:v>
                </c:pt>
              </c:strCache>
            </c:strRef>
          </c:tx>
          <c:spPr>
            <a:solidFill>
              <a:srgbClr val="5c8a5a"/>
            </a:solidFill>
            <a:ln w="21960">
              <a:solidFill>
                <a:srgbClr val="5c8a5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March!$C$16:$AG$16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March!$C$32:$AG$32</c:f>
              <c:numCache>
                <c:formatCode>General</c:formatCode>
                <c:ptCount val="31"/>
              </c:numCache>
            </c:numRef>
          </c:val>
          <c:smooth val="1"/>
        </c:ser>
        <c:ser>
          <c:idx val="1"/>
          <c:order val="1"/>
          <c:tx>
            <c:strRef>
              <c:f>March!B33</c:f>
              <c:strCache>
                <c:ptCount val="1"/>
                <c:pt idx="0">
                  <c:v>Hours of Sleep</c:v>
                </c:pt>
              </c:strCache>
            </c:strRef>
          </c:tx>
          <c:spPr>
            <a:solidFill>
              <a:srgbClr val="1f2433"/>
            </a:solidFill>
            <a:ln w="21960">
              <a:solidFill>
                <a:srgbClr val="1f243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March!$C$16:$AG$16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March!$C$33:$AG$33</c:f>
              <c:numCache>
                <c:formatCode>General</c:formatCode>
                <c:ptCount val="31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2529574"/>
        <c:axId val="86603432"/>
      </c:lineChart>
      <c:catAx>
        <c:axId val="3252957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603432"/>
        <c:crosses val="autoZero"/>
        <c:auto val="1"/>
        <c:lblAlgn val="ctr"/>
        <c:lblOffset val="100"/>
        <c:noMultiLvlLbl val="0"/>
      </c:catAx>
      <c:valAx>
        <c:axId val="86603432"/>
        <c:scaling>
          <c:orientation val="minMax"/>
          <c:max val="12"/>
          <c:min val="0"/>
        </c:scaling>
        <c:delete val="0"/>
        <c:axPos val="l"/>
        <c:majorGridlines>
          <c:spPr>
            <a:ln w="9360">
              <a:solidFill>
                <a:srgbClr val="ddd8cc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529574"/>
        <c:crosses val="autoZero"/>
        <c:crossBetween val="between"/>
        <c:majorUnit val="2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f2433"/>
            </a:solidFill>
            <a:ln w="0">
              <a:solidFill>
                <a:srgbClr val="1f2433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April!$C$48:$AG$48</c:f>
              <c:strCache>
                <c:ptCount val="31"/>
                <c:pt idx="0">
                  <c:v>We</c:v>
                </c:pt>
                <c:pt idx="1">
                  <c:v>Th</c:v>
                </c:pt>
                <c:pt idx="2">
                  <c:v>Fr</c:v>
                </c:pt>
                <c:pt idx="3">
                  <c:v>Sa</c:v>
                </c:pt>
                <c:pt idx="4">
                  <c:v>Su</c:v>
                </c:pt>
                <c:pt idx="5">
                  <c:v>Mo</c:v>
                </c:pt>
                <c:pt idx="6">
                  <c:v>Tu</c:v>
                </c:pt>
                <c:pt idx="7">
                  <c:v>We</c:v>
                </c:pt>
                <c:pt idx="8">
                  <c:v>Th</c:v>
                </c:pt>
                <c:pt idx="9">
                  <c:v>Fr</c:v>
                </c:pt>
                <c:pt idx="10">
                  <c:v>Sa</c:v>
                </c:pt>
                <c:pt idx="11">
                  <c:v>Su</c:v>
                </c:pt>
                <c:pt idx="12">
                  <c:v>Mo</c:v>
                </c:pt>
                <c:pt idx="13">
                  <c:v>Tu</c:v>
                </c:pt>
                <c:pt idx="14">
                  <c:v>We</c:v>
                </c:pt>
                <c:pt idx="15">
                  <c:v>Th</c:v>
                </c:pt>
                <c:pt idx="16">
                  <c:v>Fr</c:v>
                </c:pt>
                <c:pt idx="17">
                  <c:v>Sa</c:v>
                </c:pt>
                <c:pt idx="18">
                  <c:v>Su</c:v>
                </c:pt>
                <c:pt idx="19">
                  <c:v>Mo</c:v>
                </c:pt>
                <c:pt idx="20">
                  <c:v>Tu</c:v>
                </c:pt>
                <c:pt idx="21">
                  <c:v>We</c:v>
                </c:pt>
                <c:pt idx="22">
                  <c:v>Th</c:v>
                </c:pt>
                <c:pt idx="23">
                  <c:v>Fr</c:v>
                </c:pt>
                <c:pt idx="24">
                  <c:v>Sa</c:v>
                </c:pt>
                <c:pt idx="25">
                  <c:v>Su</c:v>
                </c:pt>
                <c:pt idx="26">
                  <c:v>Mo</c:v>
                </c:pt>
                <c:pt idx="27">
                  <c:v>Tu</c:v>
                </c:pt>
                <c:pt idx="28">
                  <c:v>We</c:v>
                </c:pt>
                <c:pt idx="29">
                  <c:v>Th</c:v>
                </c:pt>
                <c:pt idx="30">
                  <c:v/>
                </c:pt>
              </c:strCache>
            </c:strRef>
          </c:cat>
          <c:val>
            <c:numRef>
              <c:f>April!$C$29:$AG$29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gapWidth val="40"/>
        <c:overlap val="0"/>
        <c:axId val="11953415"/>
        <c:axId val="91689194"/>
      </c:barChart>
      <c:catAx>
        <c:axId val="11953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689194"/>
        <c:crosses val="autoZero"/>
        <c:auto val="1"/>
        <c:lblAlgn val="ctr"/>
        <c:lblOffset val="100"/>
        <c:noMultiLvlLbl val="0"/>
      </c:catAx>
      <c:valAx>
        <c:axId val="91689194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ddd8cc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953415"/>
        <c:crosses val="autoZero"/>
        <c:crossBetween val="between"/>
        <c:majorUnit val="0.25"/>
      </c:valAx>
      <c:spPr>
        <a:noFill/>
        <a:ln w="0">
          <a:noFill/>
        </a:ln>
      </c:spPr>
    </c:plotArea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f2433"/>
            </a:solidFill>
            <a:ln w="0">
              <a:solidFill>
                <a:srgbClr val="1f2433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April!$AO$8:$AO$12</c:f>
              <c:strCache>
                <c:ptCount val="5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</c:strCache>
            </c:strRef>
          </c:cat>
          <c:val>
            <c:numRef>
              <c:f>April!$AP$8:$AP$12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40"/>
        <c:overlap val="0"/>
        <c:axId val="3763162"/>
        <c:axId val="51482388"/>
      </c:barChart>
      <c:catAx>
        <c:axId val="376316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482388"/>
        <c:crosses val="autoZero"/>
        <c:auto val="1"/>
        <c:lblAlgn val="ctr"/>
        <c:lblOffset val="100"/>
        <c:noMultiLvlLbl val="0"/>
      </c:catAx>
      <c:valAx>
        <c:axId val="51482388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ddd8cc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63162"/>
        <c:crosses val="autoZero"/>
        <c:crossBetween val="between"/>
        <c:majorUnit val="0.25"/>
      </c:valAx>
      <c:spPr>
        <a:noFill/>
        <a:ln w="0">
          <a:noFill/>
        </a:ln>
      </c:spPr>
    </c:plotArea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1f2433"/>
              </a:solidFill>
              <a:ln w="0">
                <a:solidFill>
                  <a:srgbClr val="f4f1ea"/>
                </a:solidFill>
              </a:ln>
            </c:spPr>
          </c:dPt>
          <c:dPt>
            <c:idx val="1"/>
            <c:spPr>
              <a:solidFill>
                <a:srgbClr val="c9c5bb"/>
              </a:solidFill>
              <a:ln w="0">
                <a:solidFill>
                  <a:srgbClr val="f4f1ea"/>
                </a:solidFill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April!$AO$5:$AO$6</c:f>
              <c:strCache>
                <c:ptCount val="2"/>
                <c:pt idx="0">
                  <c:v>Completed</c:v>
                </c:pt>
                <c:pt idx="1">
                  <c:v>Left</c:v>
                </c:pt>
              </c:strCache>
            </c:strRef>
          </c:cat>
          <c:val>
            <c:numRef>
              <c:f>April!$AP$5:$AP$6</c:f>
              <c:numCache>
                <c:formatCode>General</c:formatCode>
                <c:ptCount val="2"/>
                <c:pt idx="0">
                  <c:v>0</c:v>
                </c:pt>
                <c:pt idx="1">
                  <c:v>300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April!B32</c:f>
              <c:strCache>
                <c:ptCount val="1"/>
                <c:pt idx="0">
                  <c:v>Mood (1-10)</c:v>
                </c:pt>
              </c:strCache>
            </c:strRef>
          </c:tx>
          <c:spPr>
            <a:solidFill>
              <a:srgbClr val="5c8a5a"/>
            </a:solidFill>
            <a:ln w="21960">
              <a:solidFill>
                <a:srgbClr val="5c8a5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April!$C$16:$AG$16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/>
                </c:pt>
              </c:strCache>
            </c:strRef>
          </c:cat>
          <c:val>
            <c:numRef>
              <c:f>April!$C$32:$AG$32</c:f>
              <c:numCache>
                <c:formatCode>General</c:formatCode>
                <c:ptCount val="31"/>
              </c:numCache>
            </c:numRef>
          </c:val>
          <c:smooth val="1"/>
        </c:ser>
        <c:ser>
          <c:idx val="1"/>
          <c:order val="1"/>
          <c:tx>
            <c:strRef>
              <c:f>April!B33</c:f>
              <c:strCache>
                <c:ptCount val="1"/>
                <c:pt idx="0">
                  <c:v>Hours of Sleep</c:v>
                </c:pt>
              </c:strCache>
            </c:strRef>
          </c:tx>
          <c:spPr>
            <a:solidFill>
              <a:srgbClr val="1f2433"/>
            </a:solidFill>
            <a:ln w="21960">
              <a:solidFill>
                <a:srgbClr val="1f243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April!$C$16:$AG$16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/>
                </c:pt>
              </c:strCache>
            </c:strRef>
          </c:cat>
          <c:val>
            <c:numRef>
              <c:f>April!$C$33:$AG$33</c:f>
              <c:numCache>
                <c:formatCode>General</c:formatCode>
                <c:ptCount val="31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9186949"/>
        <c:axId val="85991361"/>
      </c:lineChart>
      <c:catAx>
        <c:axId val="9918694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991361"/>
        <c:crosses val="autoZero"/>
        <c:auto val="1"/>
        <c:lblAlgn val="ctr"/>
        <c:lblOffset val="100"/>
        <c:noMultiLvlLbl val="0"/>
      </c:catAx>
      <c:valAx>
        <c:axId val="85991361"/>
        <c:scaling>
          <c:orientation val="minMax"/>
          <c:max val="12"/>
          <c:min val="0"/>
        </c:scaling>
        <c:delete val="0"/>
        <c:axPos val="l"/>
        <c:majorGridlines>
          <c:spPr>
            <a:ln w="9360">
              <a:solidFill>
                <a:srgbClr val="ddd8cc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186949"/>
        <c:crosses val="autoZero"/>
        <c:crossBetween val="between"/>
        <c:majorUnit val="2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f2433"/>
            </a:solidFill>
            <a:ln w="0">
              <a:solidFill>
                <a:srgbClr val="1f2433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May!$C$48:$AG$48</c:f>
              <c:strCache>
                <c:ptCount val="31"/>
                <c:pt idx="0">
                  <c:v>Fr</c:v>
                </c:pt>
                <c:pt idx="1">
                  <c:v>Sa</c:v>
                </c:pt>
                <c:pt idx="2">
                  <c:v>Su</c:v>
                </c:pt>
                <c:pt idx="3">
                  <c:v>Mo</c:v>
                </c:pt>
                <c:pt idx="4">
                  <c:v>Tu</c:v>
                </c:pt>
                <c:pt idx="5">
                  <c:v>We</c:v>
                </c:pt>
                <c:pt idx="6">
                  <c:v>Th</c:v>
                </c:pt>
                <c:pt idx="7">
                  <c:v>Fr</c:v>
                </c:pt>
                <c:pt idx="8">
                  <c:v>Sa</c:v>
                </c:pt>
                <c:pt idx="9">
                  <c:v>Su</c:v>
                </c:pt>
                <c:pt idx="10">
                  <c:v>Mo</c:v>
                </c:pt>
                <c:pt idx="11">
                  <c:v>Tu</c:v>
                </c:pt>
                <c:pt idx="12">
                  <c:v>We</c:v>
                </c:pt>
                <c:pt idx="13">
                  <c:v>Th</c:v>
                </c:pt>
                <c:pt idx="14">
                  <c:v>Fr</c:v>
                </c:pt>
                <c:pt idx="15">
                  <c:v>Sa</c:v>
                </c:pt>
                <c:pt idx="16">
                  <c:v>Su</c:v>
                </c:pt>
                <c:pt idx="17">
                  <c:v>Mo</c:v>
                </c:pt>
                <c:pt idx="18">
                  <c:v>Tu</c:v>
                </c:pt>
                <c:pt idx="19">
                  <c:v>We</c:v>
                </c:pt>
                <c:pt idx="20">
                  <c:v>Th</c:v>
                </c:pt>
                <c:pt idx="21">
                  <c:v>Fr</c:v>
                </c:pt>
                <c:pt idx="22">
                  <c:v>Sa</c:v>
                </c:pt>
                <c:pt idx="23">
                  <c:v>Su</c:v>
                </c:pt>
                <c:pt idx="24">
                  <c:v>Mo</c:v>
                </c:pt>
                <c:pt idx="25">
                  <c:v>Tu</c:v>
                </c:pt>
                <c:pt idx="26">
                  <c:v>We</c:v>
                </c:pt>
                <c:pt idx="27">
                  <c:v>Th</c:v>
                </c:pt>
                <c:pt idx="28">
                  <c:v>Fr</c:v>
                </c:pt>
                <c:pt idx="29">
                  <c:v>Sa</c:v>
                </c:pt>
                <c:pt idx="30">
                  <c:v>Su</c:v>
                </c:pt>
              </c:strCache>
            </c:strRef>
          </c:cat>
          <c:val>
            <c:numRef>
              <c:f>May!$C$29:$AG$29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gapWidth val="40"/>
        <c:overlap val="0"/>
        <c:axId val="80224461"/>
        <c:axId val="14113303"/>
      </c:barChart>
      <c:catAx>
        <c:axId val="8022446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113303"/>
        <c:crosses val="autoZero"/>
        <c:auto val="1"/>
        <c:lblAlgn val="ctr"/>
        <c:lblOffset val="100"/>
        <c:noMultiLvlLbl val="0"/>
      </c:catAx>
      <c:valAx>
        <c:axId val="14113303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ddd8cc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224461"/>
        <c:crosses val="autoZero"/>
        <c:crossBetween val="between"/>
        <c:majorUnit val="0.25"/>
      </c:valAx>
      <c:spPr>
        <a:noFill/>
        <a:ln w="0">
          <a:noFill/>
        </a:ln>
      </c:spPr>
    </c:plotArea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f2433"/>
            </a:solidFill>
            <a:ln w="0">
              <a:solidFill>
                <a:srgbClr val="1f2433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May!$AO$8:$AO$12</c:f>
              <c:strCache>
                <c:ptCount val="5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</c:strCache>
            </c:strRef>
          </c:cat>
          <c:val>
            <c:numRef>
              <c:f>May!$AP$8:$AP$12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40"/>
        <c:overlap val="0"/>
        <c:axId val="77153048"/>
        <c:axId val="80794148"/>
      </c:barChart>
      <c:catAx>
        <c:axId val="77153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794148"/>
        <c:crosses val="autoZero"/>
        <c:auto val="1"/>
        <c:lblAlgn val="ctr"/>
        <c:lblOffset val="100"/>
        <c:noMultiLvlLbl val="0"/>
      </c:catAx>
      <c:valAx>
        <c:axId val="80794148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ddd8cc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153048"/>
        <c:crosses val="autoZero"/>
        <c:crossBetween val="between"/>
        <c:majorUnit val="0.25"/>
      </c:valAx>
      <c:spPr>
        <a:noFill/>
        <a:ln w="0">
          <a:noFill/>
        </a:ln>
      </c:spPr>
    </c:plotArea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1f2433"/>
              </a:solidFill>
              <a:ln w="0">
                <a:solidFill>
                  <a:srgbClr val="f4f1ea"/>
                </a:solidFill>
              </a:ln>
            </c:spPr>
          </c:dPt>
          <c:dPt>
            <c:idx val="1"/>
            <c:spPr>
              <a:solidFill>
                <a:srgbClr val="c9c5bb"/>
              </a:solidFill>
              <a:ln w="0">
                <a:solidFill>
                  <a:srgbClr val="f4f1ea"/>
                </a:solidFill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May!$AO$5:$AO$6</c:f>
              <c:strCache>
                <c:ptCount val="2"/>
                <c:pt idx="0">
                  <c:v>Completed</c:v>
                </c:pt>
                <c:pt idx="1">
                  <c:v>Left</c:v>
                </c:pt>
              </c:strCache>
            </c:strRef>
          </c:cat>
          <c:val>
            <c:numRef>
              <c:f>May!$AP$5:$AP$6</c:f>
              <c:numCache>
                <c:formatCode>General</c:formatCode>
                <c:ptCount val="2"/>
                <c:pt idx="0">
                  <c:v>0</c:v>
                </c:pt>
                <c:pt idx="1">
                  <c:v>310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May!B32</c:f>
              <c:strCache>
                <c:ptCount val="1"/>
                <c:pt idx="0">
                  <c:v>Mood (1-10)</c:v>
                </c:pt>
              </c:strCache>
            </c:strRef>
          </c:tx>
          <c:spPr>
            <a:solidFill>
              <a:srgbClr val="5c8a5a"/>
            </a:solidFill>
            <a:ln w="21960">
              <a:solidFill>
                <a:srgbClr val="5c8a5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May!$C$16:$AG$16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May!$C$32:$AG$32</c:f>
              <c:numCache>
                <c:formatCode>General</c:formatCode>
                <c:ptCount val="31"/>
              </c:numCache>
            </c:numRef>
          </c:val>
          <c:smooth val="1"/>
        </c:ser>
        <c:ser>
          <c:idx val="1"/>
          <c:order val="1"/>
          <c:tx>
            <c:strRef>
              <c:f>May!B33</c:f>
              <c:strCache>
                <c:ptCount val="1"/>
                <c:pt idx="0">
                  <c:v>Hours of Sleep</c:v>
                </c:pt>
              </c:strCache>
            </c:strRef>
          </c:tx>
          <c:spPr>
            <a:solidFill>
              <a:srgbClr val="1f2433"/>
            </a:solidFill>
            <a:ln w="21960">
              <a:solidFill>
                <a:srgbClr val="1f243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May!$C$16:$AG$16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May!$C$33:$AG$33</c:f>
              <c:numCache>
                <c:formatCode>General</c:formatCode>
                <c:ptCount val="31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2351199"/>
        <c:axId val="40158893"/>
      </c:lineChart>
      <c:catAx>
        <c:axId val="12351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158893"/>
        <c:crosses val="autoZero"/>
        <c:auto val="1"/>
        <c:lblAlgn val="ctr"/>
        <c:lblOffset val="100"/>
        <c:noMultiLvlLbl val="0"/>
      </c:catAx>
      <c:valAx>
        <c:axId val="40158893"/>
        <c:scaling>
          <c:orientation val="minMax"/>
          <c:max val="12"/>
          <c:min val="0"/>
        </c:scaling>
        <c:delete val="0"/>
        <c:axPos val="l"/>
        <c:majorGridlines>
          <c:spPr>
            <a:ln w="9360">
              <a:solidFill>
                <a:srgbClr val="ddd8cc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351199"/>
        <c:crosses val="autoZero"/>
        <c:crossBetween val="between"/>
        <c:majorUnit val="2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f2433"/>
            </a:solidFill>
            <a:ln w="0">
              <a:solidFill>
                <a:srgbClr val="1f2433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June!$C$48:$AG$48</c:f>
              <c:strCache>
                <c:ptCount val="31"/>
                <c:pt idx="0">
                  <c:v>Mo</c:v>
                </c:pt>
                <c:pt idx="1">
                  <c:v>Tu</c:v>
                </c:pt>
                <c:pt idx="2">
                  <c:v>We</c:v>
                </c:pt>
                <c:pt idx="3">
                  <c:v>Th</c:v>
                </c:pt>
                <c:pt idx="4">
                  <c:v>Fr</c:v>
                </c:pt>
                <c:pt idx="5">
                  <c:v>Sa</c:v>
                </c:pt>
                <c:pt idx="6">
                  <c:v>Su</c:v>
                </c:pt>
                <c:pt idx="7">
                  <c:v>Mo</c:v>
                </c:pt>
                <c:pt idx="8">
                  <c:v>Tu</c:v>
                </c:pt>
                <c:pt idx="9">
                  <c:v>We</c:v>
                </c:pt>
                <c:pt idx="10">
                  <c:v>Th</c:v>
                </c:pt>
                <c:pt idx="11">
                  <c:v>Fr</c:v>
                </c:pt>
                <c:pt idx="12">
                  <c:v>Sa</c:v>
                </c:pt>
                <c:pt idx="13">
                  <c:v>Su</c:v>
                </c:pt>
                <c:pt idx="14">
                  <c:v>Mo</c:v>
                </c:pt>
                <c:pt idx="15">
                  <c:v>Tu</c:v>
                </c:pt>
                <c:pt idx="16">
                  <c:v>We</c:v>
                </c:pt>
                <c:pt idx="17">
                  <c:v>Th</c:v>
                </c:pt>
                <c:pt idx="18">
                  <c:v>Fr</c:v>
                </c:pt>
                <c:pt idx="19">
                  <c:v>Sa</c:v>
                </c:pt>
                <c:pt idx="20">
                  <c:v>Su</c:v>
                </c:pt>
                <c:pt idx="21">
                  <c:v>Mo</c:v>
                </c:pt>
                <c:pt idx="22">
                  <c:v>Tu</c:v>
                </c:pt>
                <c:pt idx="23">
                  <c:v>We</c:v>
                </c:pt>
                <c:pt idx="24">
                  <c:v>Th</c:v>
                </c:pt>
                <c:pt idx="25">
                  <c:v>Fr</c:v>
                </c:pt>
                <c:pt idx="26">
                  <c:v>Sa</c:v>
                </c:pt>
                <c:pt idx="27">
                  <c:v>Su</c:v>
                </c:pt>
                <c:pt idx="28">
                  <c:v>Mo</c:v>
                </c:pt>
                <c:pt idx="29">
                  <c:v>Tu</c:v>
                </c:pt>
                <c:pt idx="30">
                  <c:v/>
                </c:pt>
              </c:strCache>
            </c:strRef>
          </c:cat>
          <c:val>
            <c:numRef>
              <c:f>June!$C$29:$AG$29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gapWidth val="40"/>
        <c:overlap val="0"/>
        <c:axId val="78935868"/>
        <c:axId val="37532130"/>
      </c:barChart>
      <c:catAx>
        <c:axId val="789358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532130"/>
        <c:crosses val="autoZero"/>
        <c:auto val="1"/>
        <c:lblAlgn val="ctr"/>
        <c:lblOffset val="100"/>
        <c:noMultiLvlLbl val="0"/>
      </c:catAx>
      <c:valAx>
        <c:axId val="37532130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ddd8cc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935868"/>
        <c:crosses val="autoZero"/>
        <c:crossBetween val="between"/>
        <c:majorUnit val="0.25"/>
      </c:valAx>
      <c:spPr>
        <a:noFill/>
        <a:ln w="0">
          <a:noFill/>
        </a:ln>
      </c:spPr>
    </c:plotArea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f2433"/>
            </a:solidFill>
            <a:ln w="0">
              <a:solidFill>
                <a:srgbClr val="1f2433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June!$AO$8:$AO$12</c:f>
              <c:strCache>
                <c:ptCount val="5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</c:strCache>
            </c:strRef>
          </c:cat>
          <c:val>
            <c:numRef>
              <c:f>June!$AP$8:$AP$12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40"/>
        <c:overlap val="0"/>
        <c:axId val="98877670"/>
        <c:axId val="49917001"/>
      </c:barChart>
      <c:catAx>
        <c:axId val="9887767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917001"/>
        <c:crosses val="autoZero"/>
        <c:auto val="1"/>
        <c:lblAlgn val="ctr"/>
        <c:lblOffset val="100"/>
        <c:noMultiLvlLbl val="0"/>
      </c:catAx>
      <c:valAx>
        <c:axId val="49917001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ddd8cc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877670"/>
        <c:crosses val="autoZero"/>
        <c:crossBetween val="between"/>
        <c:majorUnit val="0.25"/>
      </c:valAx>
      <c:spPr>
        <a:noFill/>
        <a:ln w="0">
          <a:noFill/>
        </a:ln>
      </c:spPr>
    </c:plotArea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1f2433"/>
              </a:solidFill>
              <a:ln w="0">
                <a:solidFill>
                  <a:srgbClr val="f4f1ea"/>
                </a:solidFill>
              </a:ln>
            </c:spPr>
          </c:dPt>
          <c:dPt>
            <c:idx val="1"/>
            <c:spPr>
              <a:solidFill>
                <a:srgbClr val="c9c5bb"/>
              </a:solidFill>
              <a:ln w="0">
                <a:solidFill>
                  <a:srgbClr val="f4f1ea"/>
                </a:solidFill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June!$AO$5:$AO$6</c:f>
              <c:strCache>
                <c:ptCount val="2"/>
                <c:pt idx="0">
                  <c:v>Completed</c:v>
                </c:pt>
                <c:pt idx="1">
                  <c:v>Left</c:v>
                </c:pt>
              </c:strCache>
            </c:strRef>
          </c:cat>
          <c:val>
            <c:numRef>
              <c:f>June!$AP$5:$AP$6</c:f>
              <c:numCache>
                <c:formatCode>General</c:formatCode>
                <c:ptCount val="2"/>
                <c:pt idx="0">
                  <c:v>0</c:v>
                </c:pt>
                <c:pt idx="1">
                  <c:v>300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June!B32</c:f>
              <c:strCache>
                <c:ptCount val="1"/>
                <c:pt idx="0">
                  <c:v>Mood (1-10)</c:v>
                </c:pt>
              </c:strCache>
            </c:strRef>
          </c:tx>
          <c:spPr>
            <a:solidFill>
              <a:srgbClr val="5c8a5a"/>
            </a:solidFill>
            <a:ln w="21960">
              <a:solidFill>
                <a:srgbClr val="5c8a5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June!$C$16:$AG$16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/>
                </c:pt>
              </c:strCache>
            </c:strRef>
          </c:cat>
          <c:val>
            <c:numRef>
              <c:f>June!$C$32:$AG$32</c:f>
              <c:numCache>
                <c:formatCode>General</c:formatCode>
                <c:ptCount val="31"/>
              </c:numCache>
            </c:numRef>
          </c:val>
          <c:smooth val="1"/>
        </c:ser>
        <c:ser>
          <c:idx val="1"/>
          <c:order val="1"/>
          <c:tx>
            <c:strRef>
              <c:f>June!B33</c:f>
              <c:strCache>
                <c:ptCount val="1"/>
                <c:pt idx="0">
                  <c:v>Hours of Sleep</c:v>
                </c:pt>
              </c:strCache>
            </c:strRef>
          </c:tx>
          <c:spPr>
            <a:solidFill>
              <a:srgbClr val="1f2433"/>
            </a:solidFill>
            <a:ln w="21960">
              <a:solidFill>
                <a:srgbClr val="1f243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June!$C$16:$AG$16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/>
                </c:pt>
              </c:strCache>
            </c:strRef>
          </c:cat>
          <c:val>
            <c:numRef>
              <c:f>June!$C$33:$AG$33</c:f>
              <c:numCache>
                <c:formatCode>General</c:formatCode>
                <c:ptCount val="31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1800508"/>
        <c:axId val="34736100"/>
      </c:lineChart>
      <c:catAx>
        <c:axId val="518005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736100"/>
        <c:crosses val="autoZero"/>
        <c:auto val="1"/>
        <c:lblAlgn val="ctr"/>
        <c:lblOffset val="100"/>
        <c:noMultiLvlLbl val="0"/>
      </c:catAx>
      <c:valAx>
        <c:axId val="34736100"/>
        <c:scaling>
          <c:orientation val="minMax"/>
          <c:max val="12"/>
          <c:min val="0"/>
        </c:scaling>
        <c:delete val="0"/>
        <c:axPos val="l"/>
        <c:majorGridlines>
          <c:spPr>
            <a:ln w="9360">
              <a:solidFill>
                <a:srgbClr val="ddd8cc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800508"/>
        <c:crosses val="autoZero"/>
        <c:crossBetween val="between"/>
        <c:majorUnit val="2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f2433"/>
            </a:solidFill>
            <a:ln w="0">
              <a:solidFill>
                <a:srgbClr val="1f2433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July!$C$48:$AG$48</c:f>
              <c:strCache>
                <c:ptCount val="31"/>
                <c:pt idx="0">
                  <c:v>We</c:v>
                </c:pt>
                <c:pt idx="1">
                  <c:v>Th</c:v>
                </c:pt>
                <c:pt idx="2">
                  <c:v>Fr</c:v>
                </c:pt>
                <c:pt idx="3">
                  <c:v>Sa</c:v>
                </c:pt>
                <c:pt idx="4">
                  <c:v>Su</c:v>
                </c:pt>
                <c:pt idx="5">
                  <c:v>Mo</c:v>
                </c:pt>
                <c:pt idx="6">
                  <c:v>Tu</c:v>
                </c:pt>
                <c:pt idx="7">
                  <c:v>We</c:v>
                </c:pt>
                <c:pt idx="8">
                  <c:v>Th</c:v>
                </c:pt>
                <c:pt idx="9">
                  <c:v>Fr</c:v>
                </c:pt>
                <c:pt idx="10">
                  <c:v>Sa</c:v>
                </c:pt>
                <c:pt idx="11">
                  <c:v>Su</c:v>
                </c:pt>
                <c:pt idx="12">
                  <c:v>Mo</c:v>
                </c:pt>
                <c:pt idx="13">
                  <c:v>Tu</c:v>
                </c:pt>
                <c:pt idx="14">
                  <c:v>We</c:v>
                </c:pt>
                <c:pt idx="15">
                  <c:v>Th</c:v>
                </c:pt>
                <c:pt idx="16">
                  <c:v>Fr</c:v>
                </c:pt>
                <c:pt idx="17">
                  <c:v>Sa</c:v>
                </c:pt>
                <c:pt idx="18">
                  <c:v>Su</c:v>
                </c:pt>
                <c:pt idx="19">
                  <c:v>Mo</c:v>
                </c:pt>
                <c:pt idx="20">
                  <c:v>Tu</c:v>
                </c:pt>
                <c:pt idx="21">
                  <c:v>We</c:v>
                </c:pt>
                <c:pt idx="22">
                  <c:v>Th</c:v>
                </c:pt>
                <c:pt idx="23">
                  <c:v>Fr</c:v>
                </c:pt>
                <c:pt idx="24">
                  <c:v>Sa</c:v>
                </c:pt>
                <c:pt idx="25">
                  <c:v>Su</c:v>
                </c:pt>
                <c:pt idx="26">
                  <c:v>Mo</c:v>
                </c:pt>
                <c:pt idx="27">
                  <c:v>Tu</c:v>
                </c:pt>
                <c:pt idx="28">
                  <c:v>We</c:v>
                </c:pt>
                <c:pt idx="29">
                  <c:v>Th</c:v>
                </c:pt>
                <c:pt idx="30">
                  <c:v>Fr</c:v>
                </c:pt>
              </c:strCache>
            </c:strRef>
          </c:cat>
          <c:val>
            <c:numRef>
              <c:f>July!$C$29:$AG$29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gapWidth val="40"/>
        <c:overlap val="0"/>
        <c:axId val="90057664"/>
        <c:axId val="90877628"/>
      </c:barChart>
      <c:catAx>
        <c:axId val="90057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877628"/>
        <c:crosses val="autoZero"/>
        <c:auto val="1"/>
        <c:lblAlgn val="ctr"/>
        <c:lblOffset val="100"/>
        <c:noMultiLvlLbl val="0"/>
      </c:catAx>
      <c:valAx>
        <c:axId val="90877628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ddd8cc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057664"/>
        <c:crosses val="autoZero"/>
        <c:crossBetween val="between"/>
        <c:majorUnit val="0.25"/>
      </c:valAx>
      <c:spPr>
        <a:noFill/>
        <a:ln w="0">
          <a:noFill/>
        </a:ln>
      </c:spPr>
    </c:plotArea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f2433"/>
            </a:solidFill>
            <a:ln w="0">
              <a:solidFill>
                <a:srgbClr val="1f2433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July!$AO$8:$AO$12</c:f>
              <c:strCache>
                <c:ptCount val="5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</c:strCache>
            </c:strRef>
          </c:cat>
          <c:val>
            <c:numRef>
              <c:f>July!$AP$8:$AP$12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40"/>
        <c:overlap val="0"/>
        <c:axId val="5090752"/>
        <c:axId val="73869969"/>
      </c:barChart>
      <c:catAx>
        <c:axId val="5090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869969"/>
        <c:crosses val="autoZero"/>
        <c:auto val="1"/>
        <c:lblAlgn val="ctr"/>
        <c:lblOffset val="100"/>
        <c:noMultiLvlLbl val="0"/>
      </c:catAx>
      <c:valAx>
        <c:axId val="73869969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ddd8cc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90752"/>
        <c:crosses val="autoZero"/>
        <c:crossBetween val="between"/>
        <c:majorUnit val="0.25"/>
      </c:valAx>
      <c:spPr>
        <a:noFill/>
        <a:ln w="0">
          <a:noFill/>
        </a:ln>
      </c:spPr>
    </c:plotArea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1f2433"/>
              </a:solidFill>
              <a:ln w="0">
                <a:solidFill>
                  <a:srgbClr val="f4f1ea"/>
                </a:solidFill>
              </a:ln>
            </c:spPr>
          </c:dPt>
          <c:dPt>
            <c:idx val="1"/>
            <c:spPr>
              <a:solidFill>
                <a:srgbClr val="c9c5bb"/>
              </a:solidFill>
              <a:ln w="0">
                <a:solidFill>
                  <a:srgbClr val="f4f1ea"/>
                </a:solidFill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July!$AO$5:$AO$6</c:f>
              <c:strCache>
                <c:ptCount val="2"/>
                <c:pt idx="0">
                  <c:v>Completed</c:v>
                </c:pt>
                <c:pt idx="1">
                  <c:v>Left</c:v>
                </c:pt>
              </c:strCache>
            </c:strRef>
          </c:cat>
          <c:val>
            <c:numRef>
              <c:f>July!$AP$5:$AP$6</c:f>
              <c:numCache>
                <c:formatCode>General</c:formatCode>
                <c:ptCount val="2"/>
                <c:pt idx="0">
                  <c:v>0</c:v>
                </c:pt>
                <c:pt idx="1">
                  <c:v>310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July!B32</c:f>
              <c:strCache>
                <c:ptCount val="1"/>
                <c:pt idx="0">
                  <c:v>Mood (1-10)</c:v>
                </c:pt>
              </c:strCache>
            </c:strRef>
          </c:tx>
          <c:spPr>
            <a:solidFill>
              <a:srgbClr val="5c8a5a"/>
            </a:solidFill>
            <a:ln w="21960">
              <a:solidFill>
                <a:srgbClr val="5c8a5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July!$C$16:$AG$16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July!$C$32:$AG$32</c:f>
              <c:numCache>
                <c:formatCode>General</c:formatCode>
                <c:ptCount val="31"/>
              </c:numCache>
            </c:numRef>
          </c:val>
          <c:smooth val="1"/>
        </c:ser>
        <c:ser>
          <c:idx val="1"/>
          <c:order val="1"/>
          <c:tx>
            <c:strRef>
              <c:f>July!B33</c:f>
              <c:strCache>
                <c:ptCount val="1"/>
                <c:pt idx="0">
                  <c:v>Hours of Sleep</c:v>
                </c:pt>
              </c:strCache>
            </c:strRef>
          </c:tx>
          <c:spPr>
            <a:solidFill>
              <a:srgbClr val="1f2433"/>
            </a:solidFill>
            <a:ln w="21960">
              <a:solidFill>
                <a:srgbClr val="1f243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July!$C$16:$AG$16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July!$C$33:$AG$33</c:f>
              <c:numCache>
                <c:formatCode>General</c:formatCode>
                <c:ptCount val="31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7699906"/>
        <c:axId val="26757585"/>
      </c:lineChart>
      <c:catAx>
        <c:axId val="6769990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757585"/>
        <c:crosses val="autoZero"/>
        <c:auto val="1"/>
        <c:lblAlgn val="ctr"/>
        <c:lblOffset val="100"/>
        <c:noMultiLvlLbl val="0"/>
      </c:catAx>
      <c:valAx>
        <c:axId val="26757585"/>
        <c:scaling>
          <c:orientation val="minMax"/>
          <c:max val="12"/>
          <c:min val="0"/>
        </c:scaling>
        <c:delete val="0"/>
        <c:axPos val="l"/>
        <c:majorGridlines>
          <c:spPr>
            <a:ln w="9360">
              <a:solidFill>
                <a:srgbClr val="ddd8cc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699906"/>
        <c:crosses val="autoZero"/>
        <c:crossBetween val="between"/>
        <c:majorUnit val="2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f2433"/>
            </a:solidFill>
            <a:ln w="0">
              <a:solidFill>
                <a:srgbClr val="1f2433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August!$C$48:$AG$48</c:f>
              <c:strCache>
                <c:ptCount val="31"/>
                <c:pt idx="0">
                  <c:v>Sa</c:v>
                </c:pt>
                <c:pt idx="1">
                  <c:v>Su</c:v>
                </c:pt>
                <c:pt idx="2">
                  <c:v>Mo</c:v>
                </c:pt>
                <c:pt idx="3">
                  <c:v>Tu</c:v>
                </c:pt>
                <c:pt idx="4">
                  <c:v>We</c:v>
                </c:pt>
                <c:pt idx="5">
                  <c:v>Th</c:v>
                </c:pt>
                <c:pt idx="6">
                  <c:v>Fr</c:v>
                </c:pt>
                <c:pt idx="7">
                  <c:v>Sa</c:v>
                </c:pt>
                <c:pt idx="8">
                  <c:v>Su</c:v>
                </c:pt>
                <c:pt idx="9">
                  <c:v>Mo</c:v>
                </c:pt>
                <c:pt idx="10">
                  <c:v>Tu</c:v>
                </c:pt>
                <c:pt idx="11">
                  <c:v>We</c:v>
                </c:pt>
                <c:pt idx="12">
                  <c:v>Th</c:v>
                </c:pt>
                <c:pt idx="13">
                  <c:v>Fr</c:v>
                </c:pt>
                <c:pt idx="14">
                  <c:v>Sa</c:v>
                </c:pt>
                <c:pt idx="15">
                  <c:v>Su</c:v>
                </c:pt>
                <c:pt idx="16">
                  <c:v>Mo</c:v>
                </c:pt>
                <c:pt idx="17">
                  <c:v>Tu</c:v>
                </c:pt>
                <c:pt idx="18">
                  <c:v>We</c:v>
                </c:pt>
                <c:pt idx="19">
                  <c:v>Th</c:v>
                </c:pt>
                <c:pt idx="20">
                  <c:v>Fr</c:v>
                </c:pt>
                <c:pt idx="21">
                  <c:v>Sa</c:v>
                </c:pt>
                <c:pt idx="22">
                  <c:v>Su</c:v>
                </c:pt>
                <c:pt idx="23">
                  <c:v>Mo</c:v>
                </c:pt>
                <c:pt idx="24">
                  <c:v>Tu</c:v>
                </c:pt>
                <c:pt idx="25">
                  <c:v>We</c:v>
                </c:pt>
                <c:pt idx="26">
                  <c:v>Th</c:v>
                </c:pt>
                <c:pt idx="27">
                  <c:v>Fr</c:v>
                </c:pt>
                <c:pt idx="28">
                  <c:v>Sa</c:v>
                </c:pt>
                <c:pt idx="29">
                  <c:v>Su</c:v>
                </c:pt>
                <c:pt idx="30">
                  <c:v>Mo</c:v>
                </c:pt>
              </c:strCache>
            </c:strRef>
          </c:cat>
          <c:val>
            <c:numRef>
              <c:f>August!$C$29:$AG$29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gapWidth val="40"/>
        <c:overlap val="0"/>
        <c:axId val="75102618"/>
        <c:axId val="26298476"/>
      </c:barChart>
      <c:catAx>
        <c:axId val="7510261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298476"/>
        <c:crosses val="autoZero"/>
        <c:auto val="1"/>
        <c:lblAlgn val="ctr"/>
        <c:lblOffset val="100"/>
        <c:noMultiLvlLbl val="0"/>
      </c:catAx>
      <c:valAx>
        <c:axId val="26298476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ddd8cc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102618"/>
        <c:crosses val="autoZero"/>
        <c:crossBetween val="between"/>
        <c:majorUnit val="0.25"/>
      </c:valAx>
      <c:spPr>
        <a:noFill/>
        <a:ln w="0">
          <a:noFill/>
        </a:ln>
      </c:spPr>
    </c:plotArea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f2433"/>
            </a:solidFill>
            <a:ln w="0">
              <a:solidFill>
                <a:srgbClr val="1f2433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August!$AO$8:$AO$12</c:f>
              <c:strCache>
                <c:ptCount val="5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</c:strCache>
            </c:strRef>
          </c:cat>
          <c:val>
            <c:numRef>
              <c:f>August!$AP$8:$AP$12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40"/>
        <c:overlap val="0"/>
        <c:axId val="99392270"/>
        <c:axId val="56854886"/>
      </c:barChart>
      <c:catAx>
        <c:axId val="9939227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854886"/>
        <c:crosses val="autoZero"/>
        <c:auto val="1"/>
        <c:lblAlgn val="ctr"/>
        <c:lblOffset val="100"/>
        <c:noMultiLvlLbl val="0"/>
      </c:catAx>
      <c:valAx>
        <c:axId val="56854886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ddd8cc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392270"/>
        <c:crosses val="autoZero"/>
        <c:crossBetween val="between"/>
        <c:majorUnit val="0.25"/>
      </c:valAx>
      <c:spPr>
        <a:noFill/>
        <a:ln w="0">
          <a:noFill/>
        </a:ln>
      </c:spPr>
    </c:plotArea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1f2433"/>
              </a:solidFill>
              <a:ln w="0">
                <a:solidFill>
                  <a:srgbClr val="f4f1ea"/>
                </a:solidFill>
              </a:ln>
            </c:spPr>
          </c:dPt>
          <c:dPt>
            <c:idx val="1"/>
            <c:spPr>
              <a:solidFill>
                <a:srgbClr val="c9c5bb"/>
              </a:solidFill>
              <a:ln w="0">
                <a:solidFill>
                  <a:srgbClr val="f4f1ea"/>
                </a:solidFill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August!$AO$5:$AO$6</c:f>
              <c:strCache>
                <c:ptCount val="2"/>
                <c:pt idx="0">
                  <c:v>Completed</c:v>
                </c:pt>
                <c:pt idx="1">
                  <c:v>Left</c:v>
                </c:pt>
              </c:strCache>
            </c:strRef>
          </c:cat>
          <c:val>
            <c:numRef>
              <c:f>August!$AP$5:$AP$6</c:f>
              <c:numCache>
                <c:formatCode>General</c:formatCode>
                <c:ptCount val="2"/>
                <c:pt idx="0">
                  <c:v>0</c:v>
                </c:pt>
                <c:pt idx="1">
                  <c:v>310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August!B32</c:f>
              <c:strCache>
                <c:ptCount val="1"/>
                <c:pt idx="0">
                  <c:v>Mood (1-10)</c:v>
                </c:pt>
              </c:strCache>
            </c:strRef>
          </c:tx>
          <c:spPr>
            <a:solidFill>
              <a:srgbClr val="5c8a5a"/>
            </a:solidFill>
            <a:ln w="21960">
              <a:solidFill>
                <a:srgbClr val="5c8a5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August!$C$16:$AG$16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August!$C$32:$AG$32</c:f>
              <c:numCache>
                <c:formatCode>General</c:formatCode>
                <c:ptCount val="31"/>
              </c:numCache>
            </c:numRef>
          </c:val>
          <c:smooth val="1"/>
        </c:ser>
        <c:ser>
          <c:idx val="1"/>
          <c:order val="1"/>
          <c:tx>
            <c:strRef>
              <c:f>August!B33</c:f>
              <c:strCache>
                <c:ptCount val="1"/>
                <c:pt idx="0">
                  <c:v>Hours of Sleep</c:v>
                </c:pt>
              </c:strCache>
            </c:strRef>
          </c:tx>
          <c:spPr>
            <a:solidFill>
              <a:srgbClr val="1f2433"/>
            </a:solidFill>
            <a:ln w="21960">
              <a:solidFill>
                <a:srgbClr val="1f243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August!$C$16:$AG$16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August!$C$33:$AG$33</c:f>
              <c:numCache>
                <c:formatCode>General</c:formatCode>
                <c:ptCount val="31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4376551"/>
        <c:axId val="15443362"/>
      </c:lineChart>
      <c:catAx>
        <c:axId val="54376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443362"/>
        <c:crosses val="autoZero"/>
        <c:auto val="1"/>
        <c:lblAlgn val="ctr"/>
        <c:lblOffset val="100"/>
        <c:noMultiLvlLbl val="0"/>
      </c:catAx>
      <c:valAx>
        <c:axId val="15443362"/>
        <c:scaling>
          <c:orientation val="minMax"/>
          <c:max val="12"/>
          <c:min val="0"/>
        </c:scaling>
        <c:delete val="0"/>
        <c:axPos val="l"/>
        <c:majorGridlines>
          <c:spPr>
            <a:ln w="9360">
              <a:solidFill>
                <a:srgbClr val="ddd8cc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376551"/>
        <c:crosses val="autoZero"/>
        <c:crossBetween val="between"/>
        <c:majorUnit val="2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f2433"/>
            </a:solidFill>
            <a:ln w="0">
              <a:solidFill>
                <a:srgbClr val="1f2433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September!$C$48:$AG$48</c:f>
              <c:strCache>
                <c:ptCount val="31"/>
                <c:pt idx="0">
                  <c:v>Tu</c:v>
                </c:pt>
                <c:pt idx="1">
                  <c:v>We</c:v>
                </c:pt>
                <c:pt idx="2">
                  <c:v>Th</c:v>
                </c:pt>
                <c:pt idx="3">
                  <c:v>Fr</c:v>
                </c:pt>
                <c:pt idx="4">
                  <c:v>Sa</c:v>
                </c:pt>
                <c:pt idx="5">
                  <c:v>Su</c:v>
                </c:pt>
                <c:pt idx="6">
                  <c:v>Mo</c:v>
                </c:pt>
                <c:pt idx="7">
                  <c:v>Tu</c:v>
                </c:pt>
                <c:pt idx="8">
                  <c:v>We</c:v>
                </c:pt>
                <c:pt idx="9">
                  <c:v>Th</c:v>
                </c:pt>
                <c:pt idx="10">
                  <c:v>Fr</c:v>
                </c:pt>
                <c:pt idx="11">
                  <c:v>Sa</c:v>
                </c:pt>
                <c:pt idx="12">
                  <c:v>Su</c:v>
                </c:pt>
                <c:pt idx="13">
                  <c:v>Mo</c:v>
                </c:pt>
                <c:pt idx="14">
                  <c:v>Tu</c:v>
                </c:pt>
                <c:pt idx="15">
                  <c:v>We</c:v>
                </c:pt>
                <c:pt idx="16">
                  <c:v>Th</c:v>
                </c:pt>
                <c:pt idx="17">
                  <c:v>Fr</c:v>
                </c:pt>
                <c:pt idx="18">
                  <c:v>Sa</c:v>
                </c:pt>
                <c:pt idx="19">
                  <c:v>Su</c:v>
                </c:pt>
                <c:pt idx="20">
                  <c:v>Mo</c:v>
                </c:pt>
                <c:pt idx="21">
                  <c:v>Tu</c:v>
                </c:pt>
                <c:pt idx="22">
                  <c:v>We</c:v>
                </c:pt>
                <c:pt idx="23">
                  <c:v>Th</c:v>
                </c:pt>
                <c:pt idx="24">
                  <c:v>Fr</c:v>
                </c:pt>
                <c:pt idx="25">
                  <c:v>Sa</c:v>
                </c:pt>
                <c:pt idx="26">
                  <c:v>Su</c:v>
                </c:pt>
                <c:pt idx="27">
                  <c:v>Mo</c:v>
                </c:pt>
                <c:pt idx="28">
                  <c:v>Tu</c:v>
                </c:pt>
                <c:pt idx="29">
                  <c:v>We</c:v>
                </c:pt>
                <c:pt idx="30">
                  <c:v/>
                </c:pt>
              </c:strCache>
            </c:strRef>
          </c:cat>
          <c:val>
            <c:numRef>
              <c:f>September!$C$29:$AG$29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gapWidth val="40"/>
        <c:overlap val="0"/>
        <c:axId val="4236544"/>
        <c:axId val="43727867"/>
      </c:barChart>
      <c:catAx>
        <c:axId val="4236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727867"/>
        <c:crosses val="autoZero"/>
        <c:auto val="1"/>
        <c:lblAlgn val="ctr"/>
        <c:lblOffset val="100"/>
        <c:noMultiLvlLbl val="0"/>
      </c:catAx>
      <c:valAx>
        <c:axId val="43727867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ddd8cc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36544"/>
        <c:crosses val="autoZero"/>
        <c:crossBetween val="between"/>
        <c:majorUnit val="0.25"/>
      </c:valAx>
      <c:spPr>
        <a:noFill/>
        <a:ln w="0">
          <a:noFill/>
        </a:ln>
      </c:spPr>
    </c:plotArea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f2433"/>
            </a:solidFill>
            <a:ln w="0">
              <a:solidFill>
                <a:srgbClr val="1f2433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September!$AO$8:$AO$12</c:f>
              <c:strCache>
                <c:ptCount val="5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</c:strCache>
            </c:strRef>
          </c:cat>
          <c:val>
            <c:numRef>
              <c:f>September!$AP$8:$AP$12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40"/>
        <c:overlap val="0"/>
        <c:axId val="81612259"/>
        <c:axId val="84414180"/>
      </c:barChart>
      <c:catAx>
        <c:axId val="816122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414180"/>
        <c:crosses val="autoZero"/>
        <c:auto val="1"/>
        <c:lblAlgn val="ctr"/>
        <c:lblOffset val="100"/>
        <c:noMultiLvlLbl val="0"/>
      </c:catAx>
      <c:valAx>
        <c:axId val="84414180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ddd8cc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612259"/>
        <c:crosses val="autoZero"/>
        <c:crossBetween val="between"/>
        <c:majorUnit val="0.25"/>
      </c:valAx>
      <c:spPr>
        <a:noFill/>
        <a:ln w="0">
          <a:noFill/>
        </a:ln>
      </c:spPr>
    </c:plotArea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1f2433"/>
              </a:solidFill>
              <a:ln w="0">
                <a:solidFill>
                  <a:srgbClr val="f4f1ea"/>
                </a:solidFill>
              </a:ln>
            </c:spPr>
          </c:dPt>
          <c:dPt>
            <c:idx val="1"/>
            <c:spPr>
              <a:solidFill>
                <a:srgbClr val="c9c5bb"/>
              </a:solidFill>
              <a:ln w="0">
                <a:solidFill>
                  <a:srgbClr val="f4f1ea"/>
                </a:solidFill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September!$AO$5:$AO$6</c:f>
              <c:strCache>
                <c:ptCount val="2"/>
                <c:pt idx="0">
                  <c:v>Completed</c:v>
                </c:pt>
                <c:pt idx="1">
                  <c:v>Left</c:v>
                </c:pt>
              </c:strCache>
            </c:strRef>
          </c:cat>
          <c:val>
            <c:numRef>
              <c:f>September!$AP$5:$AP$6</c:f>
              <c:numCache>
                <c:formatCode>General</c:formatCode>
                <c:ptCount val="2"/>
                <c:pt idx="0">
                  <c:v>0</c:v>
                </c:pt>
                <c:pt idx="1">
                  <c:v>300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September!B32</c:f>
              <c:strCache>
                <c:ptCount val="1"/>
                <c:pt idx="0">
                  <c:v>Mood (1-10)</c:v>
                </c:pt>
              </c:strCache>
            </c:strRef>
          </c:tx>
          <c:spPr>
            <a:solidFill>
              <a:srgbClr val="5c8a5a"/>
            </a:solidFill>
            <a:ln w="21960">
              <a:solidFill>
                <a:srgbClr val="5c8a5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September!$C$16:$AG$16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/>
                </c:pt>
              </c:strCache>
            </c:strRef>
          </c:cat>
          <c:val>
            <c:numRef>
              <c:f>September!$C$32:$AG$32</c:f>
              <c:numCache>
                <c:formatCode>General</c:formatCode>
                <c:ptCount val="31"/>
              </c:numCache>
            </c:numRef>
          </c:val>
          <c:smooth val="1"/>
        </c:ser>
        <c:ser>
          <c:idx val="1"/>
          <c:order val="1"/>
          <c:tx>
            <c:strRef>
              <c:f>September!B33</c:f>
              <c:strCache>
                <c:ptCount val="1"/>
                <c:pt idx="0">
                  <c:v>Hours of Sleep</c:v>
                </c:pt>
              </c:strCache>
            </c:strRef>
          </c:tx>
          <c:spPr>
            <a:solidFill>
              <a:srgbClr val="1f2433"/>
            </a:solidFill>
            <a:ln w="21960">
              <a:solidFill>
                <a:srgbClr val="1f243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September!$C$16:$AG$16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/>
                </c:pt>
              </c:strCache>
            </c:strRef>
          </c:cat>
          <c:val>
            <c:numRef>
              <c:f>September!$C$33:$AG$33</c:f>
              <c:numCache>
                <c:formatCode>General</c:formatCode>
                <c:ptCount val="31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8550988"/>
        <c:axId val="48702136"/>
      </c:lineChart>
      <c:catAx>
        <c:axId val="385509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702136"/>
        <c:crosses val="autoZero"/>
        <c:auto val="1"/>
        <c:lblAlgn val="ctr"/>
        <c:lblOffset val="100"/>
        <c:noMultiLvlLbl val="0"/>
      </c:catAx>
      <c:valAx>
        <c:axId val="48702136"/>
        <c:scaling>
          <c:orientation val="minMax"/>
          <c:max val="12"/>
          <c:min val="0"/>
        </c:scaling>
        <c:delete val="0"/>
        <c:axPos val="l"/>
        <c:majorGridlines>
          <c:spPr>
            <a:ln w="9360">
              <a:solidFill>
                <a:srgbClr val="ddd8cc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550988"/>
        <c:crosses val="autoZero"/>
        <c:crossBetween val="between"/>
        <c:majorUnit val="2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f2433"/>
            </a:solidFill>
            <a:ln w="0">
              <a:solidFill>
                <a:srgbClr val="1f2433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October!$C$48:$AG$48</c:f>
              <c:strCache>
                <c:ptCount val="31"/>
                <c:pt idx="0">
                  <c:v>Th</c:v>
                </c:pt>
                <c:pt idx="1">
                  <c:v>Fr</c:v>
                </c:pt>
                <c:pt idx="2">
                  <c:v>Sa</c:v>
                </c:pt>
                <c:pt idx="3">
                  <c:v>Su</c:v>
                </c:pt>
                <c:pt idx="4">
                  <c:v>Mo</c:v>
                </c:pt>
                <c:pt idx="5">
                  <c:v>Tu</c:v>
                </c:pt>
                <c:pt idx="6">
                  <c:v>We</c:v>
                </c:pt>
                <c:pt idx="7">
                  <c:v>Th</c:v>
                </c:pt>
                <c:pt idx="8">
                  <c:v>Fr</c:v>
                </c:pt>
                <c:pt idx="9">
                  <c:v>Sa</c:v>
                </c:pt>
                <c:pt idx="10">
                  <c:v>Su</c:v>
                </c:pt>
                <c:pt idx="11">
                  <c:v>Mo</c:v>
                </c:pt>
                <c:pt idx="12">
                  <c:v>Tu</c:v>
                </c:pt>
                <c:pt idx="13">
                  <c:v>We</c:v>
                </c:pt>
                <c:pt idx="14">
                  <c:v>Th</c:v>
                </c:pt>
                <c:pt idx="15">
                  <c:v>Fr</c:v>
                </c:pt>
                <c:pt idx="16">
                  <c:v>Sa</c:v>
                </c:pt>
                <c:pt idx="17">
                  <c:v>Su</c:v>
                </c:pt>
                <c:pt idx="18">
                  <c:v>Mo</c:v>
                </c:pt>
                <c:pt idx="19">
                  <c:v>Tu</c:v>
                </c:pt>
                <c:pt idx="20">
                  <c:v>We</c:v>
                </c:pt>
                <c:pt idx="21">
                  <c:v>Th</c:v>
                </c:pt>
                <c:pt idx="22">
                  <c:v>Fr</c:v>
                </c:pt>
                <c:pt idx="23">
                  <c:v>Sa</c:v>
                </c:pt>
                <c:pt idx="24">
                  <c:v>Su</c:v>
                </c:pt>
                <c:pt idx="25">
                  <c:v>Mo</c:v>
                </c:pt>
                <c:pt idx="26">
                  <c:v>Tu</c:v>
                </c:pt>
                <c:pt idx="27">
                  <c:v>We</c:v>
                </c:pt>
                <c:pt idx="28">
                  <c:v>Th</c:v>
                </c:pt>
                <c:pt idx="29">
                  <c:v>Fr</c:v>
                </c:pt>
                <c:pt idx="30">
                  <c:v>Sa</c:v>
                </c:pt>
              </c:strCache>
            </c:strRef>
          </c:cat>
          <c:val>
            <c:numRef>
              <c:f>October!$C$29:$AG$29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gapWidth val="40"/>
        <c:overlap val="0"/>
        <c:axId val="97668645"/>
        <c:axId val="29584564"/>
      </c:barChart>
      <c:catAx>
        <c:axId val="9766864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584564"/>
        <c:crosses val="autoZero"/>
        <c:auto val="1"/>
        <c:lblAlgn val="ctr"/>
        <c:lblOffset val="100"/>
        <c:noMultiLvlLbl val="0"/>
      </c:catAx>
      <c:valAx>
        <c:axId val="29584564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ddd8cc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668645"/>
        <c:crosses val="autoZero"/>
        <c:crossBetween val="between"/>
        <c:majorUnit val="0.25"/>
      </c:valAx>
      <c:spPr>
        <a:noFill/>
        <a:ln w="0">
          <a:noFill/>
        </a:ln>
      </c:spPr>
    </c:plotArea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f2433"/>
            </a:solidFill>
            <a:ln w="0">
              <a:solidFill>
                <a:srgbClr val="1f2433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October!$AO$8:$AO$12</c:f>
              <c:strCache>
                <c:ptCount val="5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</c:strCache>
            </c:strRef>
          </c:cat>
          <c:val>
            <c:numRef>
              <c:f>October!$AP$8:$AP$12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40"/>
        <c:overlap val="0"/>
        <c:axId val="57193825"/>
        <c:axId val="56977927"/>
      </c:barChart>
      <c:catAx>
        <c:axId val="5719382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977927"/>
        <c:crosses val="autoZero"/>
        <c:auto val="1"/>
        <c:lblAlgn val="ctr"/>
        <c:lblOffset val="100"/>
        <c:noMultiLvlLbl val="0"/>
      </c:catAx>
      <c:valAx>
        <c:axId val="56977927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ddd8cc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193825"/>
        <c:crosses val="autoZero"/>
        <c:crossBetween val="between"/>
        <c:majorUnit val="0.25"/>
      </c:valAx>
      <c:spPr>
        <a:noFill/>
        <a:ln w="0">
          <a:noFill/>
        </a:ln>
      </c:spPr>
    </c:plotArea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1f2433"/>
              </a:solidFill>
              <a:ln w="0">
                <a:solidFill>
                  <a:srgbClr val="f4f1ea"/>
                </a:solidFill>
              </a:ln>
            </c:spPr>
          </c:dPt>
          <c:dPt>
            <c:idx val="1"/>
            <c:spPr>
              <a:solidFill>
                <a:srgbClr val="c9c5bb"/>
              </a:solidFill>
              <a:ln w="0">
                <a:solidFill>
                  <a:srgbClr val="f4f1ea"/>
                </a:solidFill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October!$AO$5:$AO$6</c:f>
              <c:strCache>
                <c:ptCount val="2"/>
                <c:pt idx="0">
                  <c:v>Completed</c:v>
                </c:pt>
                <c:pt idx="1">
                  <c:v>Left</c:v>
                </c:pt>
              </c:strCache>
            </c:strRef>
          </c:cat>
          <c:val>
            <c:numRef>
              <c:f>October!$AP$5:$AP$6</c:f>
              <c:numCache>
                <c:formatCode>General</c:formatCode>
                <c:ptCount val="2"/>
                <c:pt idx="0">
                  <c:v>0</c:v>
                </c:pt>
                <c:pt idx="1">
                  <c:v>310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October!B32</c:f>
              <c:strCache>
                <c:ptCount val="1"/>
                <c:pt idx="0">
                  <c:v>Mood (1-10)</c:v>
                </c:pt>
              </c:strCache>
            </c:strRef>
          </c:tx>
          <c:spPr>
            <a:solidFill>
              <a:srgbClr val="5c8a5a"/>
            </a:solidFill>
            <a:ln w="21960">
              <a:solidFill>
                <a:srgbClr val="5c8a5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October!$C$16:$AG$16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October!$C$32:$AG$32</c:f>
              <c:numCache>
                <c:formatCode>General</c:formatCode>
                <c:ptCount val="31"/>
              </c:numCache>
            </c:numRef>
          </c:val>
          <c:smooth val="1"/>
        </c:ser>
        <c:ser>
          <c:idx val="1"/>
          <c:order val="1"/>
          <c:tx>
            <c:strRef>
              <c:f>October!B33</c:f>
              <c:strCache>
                <c:ptCount val="1"/>
                <c:pt idx="0">
                  <c:v>Hours of Sleep</c:v>
                </c:pt>
              </c:strCache>
            </c:strRef>
          </c:tx>
          <c:spPr>
            <a:solidFill>
              <a:srgbClr val="1f2433"/>
            </a:solidFill>
            <a:ln w="21960">
              <a:solidFill>
                <a:srgbClr val="1f243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October!$C$16:$AG$16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October!$C$33:$AG$33</c:f>
              <c:numCache>
                <c:formatCode>General</c:formatCode>
                <c:ptCount val="31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147076"/>
        <c:axId val="55816568"/>
      </c:lineChart>
      <c:catAx>
        <c:axId val="71470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816568"/>
        <c:crosses val="autoZero"/>
        <c:auto val="1"/>
        <c:lblAlgn val="ctr"/>
        <c:lblOffset val="100"/>
        <c:noMultiLvlLbl val="0"/>
      </c:catAx>
      <c:valAx>
        <c:axId val="55816568"/>
        <c:scaling>
          <c:orientation val="minMax"/>
          <c:max val="12"/>
          <c:min val="0"/>
        </c:scaling>
        <c:delete val="0"/>
        <c:axPos val="l"/>
        <c:majorGridlines>
          <c:spPr>
            <a:ln w="9360">
              <a:solidFill>
                <a:srgbClr val="ddd8cc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47076"/>
        <c:crosses val="autoZero"/>
        <c:crossBetween val="between"/>
        <c:majorUnit val="2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f2433"/>
            </a:solidFill>
            <a:ln w="0">
              <a:solidFill>
                <a:srgbClr val="1f2433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November!$C$48:$AG$48</c:f>
              <c:strCache>
                <c:ptCount val="31"/>
                <c:pt idx="0">
                  <c:v>Su</c:v>
                </c:pt>
                <c:pt idx="1">
                  <c:v>Mo</c:v>
                </c:pt>
                <c:pt idx="2">
                  <c:v>Tu</c:v>
                </c:pt>
                <c:pt idx="3">
                  <c:v>We</c:v>
                </c:pt>
                <c:pt idx="4">
                  <c:v>Th</c:v>
                </c:pt>
                <c:pt idx="5">
                  <c:v>Fr</c:v>
                </c:pt>
                <c:pt idx="6">
                  <c:v>Sa</c:v>
                </c:pt>
                <c:pt idx="7">
                  <c:v>Su</c:v>
                </c:pt>
                <c:pt idx="8">
                  <c:v>Mo</c:v>
                </c:pt>
                <c:pt idx="9">
                  <c:v>Tu</c:v>
                </c:pt>
                <c:pt idx="10">
                  <c:v>We</c:v>
                </c:pt>
                <c:pt idx="11">
                  <c:v>Th</c:v>
                </c:pt>
                <c:pt idx="12">
                  <c:v>Fr</c:v>
                </c:pt>
                <c:pt idx="13">
                  <c:v>Sa</c:v>
                </c:pt>
                <c:pt idx="14">
                  <c:v>Su</c:v>
                </c:pt>
                <c:pt idx="15">
                  <c:v>Mo</c:v>
                </c:pt>
                <c:pt idx="16">
                  <c:v>Tu</c:v>
                </c:pt>
                <c:pt idx="17">
                  <c:v>We</c:v>
                </c:pt>
                <c:pt idx="18">
                  <c:v>Th</c:v>
                </c:pt>
                <c:pt idx="19">
                  <c:v>Fr</c:v>
                </c:pt>
                <c:pt idx="20">
                  <c:v>Sa</c:v>
                </c:pt>
                <c:pt idx="21">
                  <c:v>Su</c:v>
                </c:pt>
                <c:pt idx="22">
                  <c:v>Mo</c:v>
                </c:pt>
                <c:pt idx="23">
                  <c:v>Tu</c:v>
                </c:pt>
                <c:pt idx="24">
                  <c:v>We</c:v>
                </c:pt>
                <c:pt idx="25">
                  <c:v>Th</c:v>
                </c:pt>
                <c:pt idx="26">
                  <c:v>Fr</c:v>
                </c:pt>
                <c:pt idx="27">
                  <c:v>Sa</c:v>
                </c:pt>
                <c:pt idx="28">
                  <c:v>Su</c:v>
                </c:pt>
                <c:pt idx="29">
                  <c:v>Mo</c:v>
                </c:pt>
                <c:pt idx="30">
                  <c:v/>
                </c:pt>
              </c:strCache>
            </c:strRef>
          </c:cat>
          <c:val>
            <c:numRef>
              <c:f>November!$C$29:$AG$29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gapWidth val="40"/>
        <c:overlap val="0"/>
        <c:axId val="50154309"/>
        <c:axId val="59930986"/>
      </c:barChart>
      <c:catAx>
        <c:axId val="5015430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930986"/>
        <c:crosses val="autoZero"/>
        <c:auto val="1"/>
        <c:lblAlgn val="ctr"/>
        <c:lblOffset val="100"/>
        <c:noMultiLvlLbl val="0"/>
      </c:catAx>
      <c:valAx>
        <c:axId val="59930986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ddd8cc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154309"/>
        <c:crosses val="autoZero"/>
        <c:crossBetween val="between"/>
        <c:majorUnit val="0.25"/>
      </c:valAx>
      <c:spPr>
        <a:noFill/>
        <a:ln w="0">
          <a:noFill/>
        </a:ln>
      </c:spPr>
    </c:plotArea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f2433"/>
            </a:solidFill>
            <a:ln w="0">
              <a:solidFill>
                <a:srgbClr val="1f2433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November!$AO$8:$AO$12</c:f>
              <c:strCache>
                <c:ptCount val="5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</c:strCache>
            </c:strRef>
          </c:cat>
          <c:val>
            <c:numRef>
              <c:f>November!$AP$8:$AP$12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40"/>
        <c:overlap val="0"/>
        <c:axId val="31582581"/>
        <c:axId val="90644982"/>
      </c:barChart>
      <c:catAx>
        <c:axId val="3158258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644982"/>
        <c:crosses val="autoZero"/>
        <c:auto val="1"/>
        <c:lblAlgn val="ctr"/>
        <c:lblOffset val="100"/>
        <c:noMultiLvlLbl val="0"/>
      </c:catAx>
      <c:valAx>
        <c:axId val="90644982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ddd8cc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582581"/>
        <c:crosses val="autoZero"/>
        <c:crossBetween val="between"/>
        <c:majorUnit val="0.25"/>
      </c:valAx>
      <c:spPr>
        <a:noFill/>
        <a:ln w="0">
          <a:noFill/>
        </a:ln>
      </c:spPr>
    </c:plotArea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1f2433"/>
              </a:solidFill>
              <a:ln w="0">
                <a:solidFill>
                  <a:srgbClr val="f4f1ea"/>
                </a:solidFill>
              </a:ln>
            </c:spPr>
          </c:dPt>
          <c:dPt>
            <c:idx val="1"/>
            <c:spPr>
              <a:solidFill>
                <a:srgbClr val="c9c5bb"/>
              </a:solidFill>
              <a:ln w="0">
                <a:solidFill>
                  <a:srgbClr val="f4f1ea"/>
                </a:solidFill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November!$AO$5:$AO$6</c:f>
              <c:strCache>
                <c:ptCount val="2"/>
                <c:pt idx="0">
                  <c:v>Completed</c:v>
                </c:pt>
                <c:pt idx="1">
                  <c:v>Left</c:v>
                </c:pt>
              </c:strCache>
            </c:strRef>
          </c:cat>
          <c:val>
            <c:numRef>
              <c:f>November!$AP$5:$AP$6</c:f>
              <c:numCache>
                <c:formatCode>General</c:formatCode>
                <c:ptCount val="2"/>
                <c:pt idx="0">
                  <c:v>0</c:v>
                </c:pt>
                <c:pt idx="1">
                  <c:v>300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November!B32</c:f>
              <c:strCache>
                <c:ptCount val="1"/>
                <c:pt idx="0">
                  <c:v>Mood (1-10)</c:v>
                </c:pt>
              </c:strCache>
            </c:strRef>
          </c:tx>
          <c:spPr>
            <a:solidFill>
              <a:srgbClr val="5c8a5a"/>
            </a:solidFill>
            <a:ln w="21960">
              <a:solidFill>
                <a:srgbClr val="5c8a5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November!$C$16:$AG$16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/>
                </c:pt>
              </c:strCache>
            </c:strRef>
          </c:cat>
          <c:val>
            <c:numRef>
              <c:f>November!$C$32:$AG$32</c:f>
              <c:numCache>
                <c:formatCode>General</c:formatCode>
                <c:ptCount val="31"/>
              </c:numCache>
            </c:numRef>
          </c:val>
          <c:smooth val="1"/>
        </c:ser>
        <c:ser>
          <c:idx val="1"/>
          <c:order val="1"/>
          <c:tx>
            <c:strRef>
              <c:f>November!B33</c:f>
              <c:strCache>
                <c:ptCount val="1"/>
                <c:pt idx="0">
                  <c:v>Hours of Sleep</c:v>
                </c:pt>
              </c:strCache>
            </c:strRef>
          </c:tx>
          <c:spPr>
            <a:solidFill>
              <a:srgbClr val="1f2433"/>
            </a:solidFill>
            <a:ln w="21960">
              <a:solidFill>
                <a:srgbClr val="1f243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November!$C$16:$AG$16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/>
                </c:pt>
              </c:strCache>
            </c:strRef>
          </c:cat>
          <c:val>
            <c:numRef>
              <c:f>November!$C$33:$AG$33</c:f>
              <c:numCache>
                <c:formatCode>General</c:formatCode>
                <c:ptCount val="31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1493343"/>
        <c:axId val="27608530"/>
      </c:lineChart>
      <c:catAx>
        <c:axId val="21493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608530"/>
        <c:crosses val="autoZero"/>
        <c:auto val="1"/>
        <c:lblAlgn val="ctr"/>
        <c:lblOffset val="100"/>
        <c:noMultiLvlLbl val="0"/>
      </c:catAx>
      <c:valAx>
        <c:axId val="27608530"/>
        <c:scaling>
          <c:orientation val="minMax"/>
          <c:max val="12"/>
          <c:min val="0"/>
        </c:scaling>
        <c:delete val="0"/>
        <c:axPos val="l"/>
        <c:majorGridlines>
          <c:spPr>
            <a:ln w="9360">
              <a:solidFill>
                <a:srgbClr val="ddd8cc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493343"/>
        <c:crosses val="autoZero"/>
        <c:crossBetween val="between"/>
        <c:majorUnit val="2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f2433"/>
            </a:solidFill>
            <a:ln w="0">
              <a:solidFill>
                <a:srgbClr val="1f2433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December!$C$48:$AG$48</c:f>
              <c:strCache>
                <c:ptCount val="31"/>
                <c:pt idx="0">
                  <c:v>Tu</c:v>
                </c:pt>
                <c:pt idx="1">
                  <c:v>We</c:v>
                </c:pt>
                <c:pt idx="2">
                  <c:v>Th</c:v>
                </c:pt>
                <c:pt idx="3">
                  <c:v>Fr</c:v>
                </c:pt>
                <c:pt idx="4">
                  <c:v>Sa</c:v>
                </c:pt>
                <c:pt idx="5">
                  <c:v>Su</c:v>
                </c:pt>
                <c:pt idx="6">
                  <c:v>Mo</c:v>
                </c:pt>
                <c:pt idx="7">
                  <c:v>Tu</c:v>
                </c:pt>
                <c:pt idx="8">
                  <c:v>We</c:v>
                </c:pt>
                <c:pt idx="9">
                  <c:v>Th</c:v>
                </c:pt>
                <c:pt idx="10">
                  <c:v>Fr</c:v>
                </c:pt>
                <c:pt idx="11">
                  <c:v>Sa</c:v>
                </c:pt>
                <c:pt idx="12">
                  <c:v>Su</c:v>
                </c:pt>
                <c:pt idx="13">
                  <c:v>Mo</c:v>
                </c:pt>
                <c:pt idx="14">
                  <c:v>Tu</c:v>
                </c:pt>
                <c:pt idx="15">
                  <c:v>We</c:v>
                </c:pt>
                <c:pt idx="16">
                  <c:v>Th</c:v>
                </c:pt>
                <c:pt idx="17">
                  <c:v>Fr</c:v>
                </c:pt>
                <c:pt idx="18">
                  <c:v>Sa</c:v>
                </c:pt>
                <c:pt idx="19">
                  <c:v>Su</c:v>
                </c:pt>
                <c:pt idx="20">
                  <c:v>Mo</c:v>
                </c:pt>
                <c:pt idx="21">
                  <c:v>Tu</c:v>
                </c:pt>
                <c:pt idx="22">
                  <c:v>We</c:v>
                </c:pt>
                <c:pt idx="23">
                  <c:v>Th</c:v>
                </c:pt>
                <c:pt idx="24">
                  <c:v>Fr</c:v>
                </c:pt>
                <c:pt idx="25">
                  <c:v>Sa</c:v>
                </c:pt>
                <c:pt idx="26">
                  <c:v>Su</c:v>
                </c:pt>
                <c:pt idx="27">
                  <c:v>Mo</c:v>
                </c:pt>
                <c:pt idx="28">
                  <c:v>Tu</c:v>
                </c:pt>
                <c:pt idx="29">
                  <c:v>We</c:v>
                </c:pt>
                <c:pt idx="30">
                  <c:v>Th</c:v>
                </c:pt>
              </c:strCache>
            </c:strRef>
          </c:cat>
          <c:val>
            <c:numRef>
              <c:f>December!$C$29:$AG$29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gapWidth val="40"/>
        <c:overlap val="0"/>
        <c:axId val="93034974"/>
        <c:axId val="80146419"/>
      </c:barChart>
      <c:catAx>
        <c:axId val="9303497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146419"/>
        <c:crosses val="autoZero"/>
        <c:auto val="1"/>
        <c:lblAlgn val="ctr"/>
        <c:lblOffset val="100"/>
        <c:noMultiLvlLbl val="0"/>
      </c:catAx>
      <c:valAx>
        <c:axId val="80146419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ddd8cc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034974"/>
        <c:crosses val="autoZero"/>
        <c:crossBetween val="between"/>
        <c:majorUnit val="0.25"/>
      </c:valAx>
      <c:spPr>
        <a:noFill/>
        <a:ln w="0">
          <a:noFill/>
        </a:ln>
      </c:spPr>
    </c:plotArea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f2433"/>
            </a:solidFill>
            <a:ln w="0">
              <a:solidFill>
                <a:srgbClr val="1f2433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December!$AO$8:$AO$12</c:f>
              <c:strCache>
                <c:ptCount val="5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</c:strCache>
            </c:strRef>
          </c:cat>
          <c:val>
            <c:numRef>
              <c:f>December!$AP$8:$AP$12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40"/>
        <c:overlap val="0"/>
        <c:axId val="30444941"/>
        <c:axId val="53820536"/>
      </c:barChart>
      <c:catAx>
        <c:axId val="3044494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820536"/>
        <c:crosses val="autoZero"/>
        <c:auto val="1"/>
        <c:lblAlgn val="ctr"/>
        <c:lblOffset val="100"/>
        <c:noMultiLvlLbl val="0"/>
      </c:catAx>
      <c:valAx>
        <c:axId val="53820536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ddd8cc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444941"/>
        <c:crosses val="autoZero"/>
        <c:crossBetween val="between"/>
        <c:majorUnit val="0.25"/>
      </c:valAx>
      <c:spPr>
        <a:noFill/>
        <a:ln w="0">
          <a:noFill/>
        </a:ln>
      </c:spPr>
    </c:plotArea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1f2433"/>
              </a:solidFill>
              <a:ln w="0">
                <a:solidFill>
                  <a:srgbClr val="f4f1ea"/>
                </a:solidFill>
              </a:ln>
            </c:spPr>
          </c:dPt>
          <c:dPt>
            <c:idx val="1"/>
            <c:spPr>
              <a:solidFill>
                <a:srgbClr val="c9c5bb"/>
              </a:solidFill>
              <a:ln w="0">
                <a:solidFill>
                  <a:srgbClr val="f4f1ea"/>
                </a:solidFill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December!$AO$5:$AO$6</c:f>
              <c:strCache>
                <c:ptCount val="2"/>
                <c:pt idx="0">
                  <c:v>Completed</c:v>
                </c:pt>
                <c:pt idx="1">
                  <c:v>Left</c:v>
                </c:pt>
              </c:strCache>
            </c:strRef>
          </c:cat>
          <c:val>
            <c:numRef>
              <c:f>December!$AP$5:$AP$6</c:f>
              <c:numCache>
                <c:formatCode>General</c:formatCode>
                <c:ptCount val="2"/>
                <c:pt idx="0">
                  <c:v>0</c:v>
                </c:pt>
                <c:pt idx="1">
                  <c:v>310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tx>
            <c:strRef>
              <c:f>December!B32</c:f>
              <c:strCache>
                <c:ptCount val="1"/>
                <c:pt idx="0">
                  <c:v>Mood (1-10)</c:v>
                </c:pt>
              </c:strCache>
            </c:strRef>
          </c:tx>
          <c:spPr>
            <a:solidFill>
              <a:srgbClr val="5c8a5a"/>
            </a:solidFill>
            <a:ln w="21960">
              <a:solidFill>
                <a:srgbClr val="5c8a5a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December!$C$16:$AG$16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December!$C$32:$AG$32</c:f>
              <c:numCache>
                <c:formatCode>General</c:formatCode>
                <c:ptCount val="31"/>
              </c:numCache>
            </c:numRef>
          </c:val>
          <c:smooth val="1"/>
        </c:ser>
        <c:ser>
          <c:idx val="1"/>
          <c:order val="1"/>
          <c:tx>
            <c:strRef>
              <c:f>December!B33</c:f>
              <c:strCache>
                <c:ptCount val="1"/>
                <c:pt idx="0">
                  <c:v>Hours of Sleep</c:v>
                </c:pt>
              </c:strCache>
            </c:strRef>
          </c:tx>
          <c:spPr>
            <a:solidFill>
              <a:srgbClr val="1f2433"/>
            </a:solidFill>
            <a:ln w="21960">
              <a:solidFill>
                <a:srgbClr val="1f2433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December!$C$16:$AG$16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strCache>
            </c:strRef>
          </c:cat>
          <c:val>
            <c:numRef>
              <c:f>December!$C$33:$AG$33</c:f>
              <c:numCache>
                <c:formatCode>General</c:formatCode>
                <c:ptCount val="31"/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0744998"/>
        <c:axId val="20238176"/>
      </c:lineChart>
      <c:catAx>
        <c:axId val="8074499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238176"/>
        <c:crosses val="autoZero"/>
        <c:auto val="1"/>
        <c:lblAlgn val="ctr"/>
        <c:lblOffset val="100"/>
        <c:noMultiLvlLbl val="0"/>
      </c:catAx>
      <c:valAx>
        <c:axId val="20238176"/>
        <c:scaling>
          <c:orientation val="minMax"/>
          <c:max val="12"/>
          <c:min val="0"/>
        </c:scaling>
        <c:delete val="0"/>
        <c:axPos val="l"/>
        <c:majorGridlines>
          <c:spPr>
            <a:ln w="9360">
              <a:solidFill>
                <a:srgbClr val="ddd8cc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744998"/>
        <c:crosses val="autoZero"/>
        <c:crossBetween val="between"/>
        <c:majorUnit val="2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0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Relationship Id="rId3" Type="http://schemas.openxmlformats.org/officeDocument/2006/relationships/chart" Target="../charts/chart11.xml"/><Relationship Id="rId4" Type="http://schemas.openxmlformats.org/officeDocument/2006/relationships/chart" Target="../charts/chart12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Relationship Id="rId3" Type="http://schemas.openxmlformats.org/officeDocument/2006/relationships/chart" Target="../charts/chart15.xml"/><Relationship Id="rId4" Type="http://schemas.openxmlformats.org/officeDocument/2006/relationships/chart" Target="../charts/chart16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17.xml"/><Relationship Id="rId2" Type="http://schemas.openxmlformats.org/officeDocument/2006/relationships/chart" Target="../charts/chart18.xml"/><Relationship Id="rId3" Type="http://schemas.openxmlformats.org/officeDocument/2006/relationships/chart" Target="../charts/chart19.xml"/><Relationship Id="rId4" Type="http://schemas.openxmlformats.org/officeDocument/2006/relationships/chart" Target="../charts/chart20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21.xml"/><Relationship Id="rId2" Type="http://schemas.openxmlformats.org/officeDocument/2006/relationships/chart" Target="../charts/chart22.xml"/><Relationship Id="rId3" Type="http://schemas.openxmlformats.org/officeDocument/2006/relationships/chart" Target="../charts/chart23.xml"/><Relationship Id="rId4" Type="http://schemas.openxmlformats.org/officeDocument/2006/relationships/chart" Target="../charts/chart24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25.xml"/><Relationship Id="rId2" Type="http://schemas.openxmlformats.org/officeDocument/2006/relationships/chart" Target="../charts/chart26.xml"/><Relationship Id="rId3" Type="http://schemas.openxmlformats.org/officeDocument/2006/relationships/chart" Target="../charts/chart27.xml"/><Relationship Id="rId4" Type="http://schemas.openxmlformats.org/officeDocument/2006/relationships/chart" Target="../charts/chart28.xml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29.xml"/><Relationship Id="rId2" Type="http://schemas.openxmlformats.org/officeDocument/2006/relationships/chart" Target="../charts/chart30.xml"/><Relationship Id="rId3" Type="http://schemas.openxmlformats.org/officeDocument/2006/relationships/chart" Target="../charts/chart31.xml"/><Relationship Id="rId4" Type="http://schemas.openxmlformats.org/officeDocument/2006/relationships/chart" Target="../charts/chart32.xml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chart" Target="../charts/chart33.xml"/><Relationship Id="rId2" Type="http://schemas.openxmlformats.org/officeDocument/2006/relationships/chart" Target="../charts/chart34.xml"/><Relationship Id="rId3" Type="http://schemas.openxmlformats.org/officeDocument/2006/relationships/chart" Target="../charts/chart35.xml"/><Relationship Id="rId4" Type="http://schemas.openxmlformats.org/officeDocument/2006/relationships/chart" Target="../charts/chart36.xml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chart" Target="../charts/chart37.xml"/><Relationship Id="rId2" Type="http://schemas.openxmlformats.org/officeDocument/2006/relationships/chart" Target="../charts/chart38.xml"/><Relationship Id="rId3" Type="http://schemas.openxmlformats.org/officeDocument/2006/relationships/chart" Target="../charts/chart39.xml"/><Relationship Id="rId4" Type="http://schemas.openxmlformats.org/officeDocument/2006/relationships/chart" Target="../charts/chart40.xml"/>
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chart" Target="../charts/chart41.xml"/><Relationship Id="rId2" Type="http://schemas.openxmlformats.org/officeDocument/2006/relationships/chart" Target="../charts/chart42.xml"/><Relationship Id="rId3" Type="http://schemas.openxmlformats.org/officeDocument/2006/relationships/chart" Target="../charts/chart43.xml"/><Relationship Id="rId4" Type="http://schemas.openxmlformats.org/officeDocument/2006/relationships/chart" Target="../charts/chart44.xml"/>
</Relationships>
</file>

<file path=xl/drawings/_rels/drawing12.xml.rels><?xml version="1.0" encoding="UTF-8"?>
<Relationships xmlns="http://schemas.openxmlformats.org/package/2006/relationships"><Relationship Id="rId1" Type="http://schemas.openxmlformats.org/officeDocument/2006/relationships/chart" Target="../charts/chart45.xml"/><Relationship Id="rId2" Type="http://schemas.openxmlformats.org/officeDocument/2006/relationships/chart" Target="../charts/chart46.xml"/><Relationship Id="rId3" Type="http://schemas.openxmlformats.org/officeDocument/2006/relationships/chart" Target="../charts/chart47.xml"/><Relationship Id="rId4" Type="http://schemas.openxmlformats.org/officeDocument/2006/relationships/chart" Target="../charts/chart4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2</xdr:row>
      <xdr:rowOff>0</xdr:rowOff>
    </xdr:from>
    <xdr:to>
      <xdr:col>28</xdr:col>
      <xdr:colOff>122760</xdr:colOff>
      <xdr:row>11</xdr:row>
      <xdr:rowOff>179280</xdr:rowOff>
    </xdr:to>
    <xdr:graphicFrame>
      <xdr:nvGraphicFramePr>
        <xdr:cNvPr id="0" name="Chart 1"/>
        <xdr:cNvGraphicFramePr/>
      </xdr:nvGraphicFramePr>
      <xdr:xfrm>
        <a:off x="1973520" y="466560"/>
        <a:ext cx="7271640" cy="19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26</xdr:col>
      <xdr:colOff>0</xdr:colOff>
      <xdr:row>2</xdr:row>
      <xdr:rowOff>0</xdr:rowOff>
    </xdr:from>
    <xdr:to>
      <xdr:col>34</xdr:col>
      <xdr:colOff>94320</xdr:colOff>
      <xdr:row>11</xdr:row>
      <xdr:rowOff>179280</xdr:rowOff>
    </xdr:to>
    <xdr:graphicFrame>
      <xdr:nvGraphicFramePr>
        <xdr:cNvPr id="1" name="Chart 2"/>
        <xdr:cNvGraphicFramePr/>
      </xdr:nvGraphicFramePr>
      <xdr:xfrm>
        <a:off x="8572680" y="466560"/>
        <a:ext cx="2159640" cy="19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36</xdr:col>
      <xdr:colOff>0</xdr:colOff>
      <xdr:row>4</xdr:row>
      <xdr:rowOff>0</xdr:rowOff>
    </xdr:from>
    <xdr:to>
      <xdr:col>38</xdr:col>
      <xdr:colOff>535320</xdr:colOff>
      <xdr:row>11</xdr:row>
      <xdr:rowOff>183600</xdr:rowOff>
    </xdr:to>
    <xdr:graphicFrame>
      <xdr:nvGraphicFramePr>
        <xdr:cNvPr id="2" name="Chart 3"/>
        <xdr:cNvGraphicFramePr/>
      </xdr:nvGraphicFramePr>
      <xdr:xfrm>
        <a:off x="11765880" y="866880"/>
        <a:ext cx="2015640" cy="158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</xdr:col>
      <xdr:colOff>0</xdr:colOff>
      <xdr:row>34</xdr:row>
      <xdr:rowOff>0</xdr:rowOff>
    </xdr:from>
    <xdr:to>
      <xdr:col>35</xdr:col>
      <xdr:colOff>59040</xdr:colOff>
      <xdr:row>44</xdr:row>
      <xdr:rowOff>7920</xdr:rowOff>
    </xdr:to>
    <xdr:graphicFrame>
      <xdr:nvGraphicFramePr>
        <xdr:cNvPr id="3" name="Chart 4"/>
        <xdr:cNvGraphicFramePr/>
      </xdr:nvGraphicFramePr>
      <xdr:xfrm>
        <a:off x="1973520" y="7143840"/>
        <a:ext cx="9287640" cy="19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2</xdr:row>
      <xdr:rowOff>0</xdr:rowOff>
    </xdr:from>
    <xdr:to>
      <xdr:col>28</xdr:col>
      <xdr:colOff>122760</xdr:colOff>
      <xdr:row>11</xdr:row>
      <xdr:rowOff>179280</xdr:rowOff>
    </xdr:to>
    <xdr:graphicFrame>
      <xdr:nvGraphicFramePr>
        <xdr:cNvPr id="4" name="Chart 1"/>
        <xdr:cNvGraphicFramePr/>
      </xdr:nvGraphicFramePr>
      <xdr:xfrm>
        <a:off x="1973520" y="466560"/>
        <a:ext cx="7271640" cy="19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26</xdr:col>
      <xdr:colOff>0</xdr:colOff>
      <xdr:row>2</xdr:row>
      <xdr:rowOff>0</xdr:rowOff>
    </xdr:from>
    <xdr:to>
      <xdr:col>34</xdr:col>
      <xdr:colOff>94320</xdr:colOff>
      <xdr:row>11</xdr:row>
      <xdr:rowOff>179280</xdr:rowOff>
    </xdr:to>
    <xdr:graphicFrame>
      <xdr:nvGraphicFramePr>
        <xdr:cNvPr id="5" name="Chart 2"/>
        <xdr:cNvGraphicFramePr/>
      </xdr:nvGraphicFramePr>
      <xdr:xfrm>
        <a:off x="8572680" y="466560"/>
        <a:ext cx="2159640" cy="19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36</xdr:col>
      <xdr:colOff>0</xdr:colOff>
      <xdr:row>4</xdr:row>
      <xdr:rowOff>0</xdr:rowOff>
    </xdr:from>
    <xdr:to>
      <xdr:col>38</xdr:col>
      <xdr:colOff>535320</xdr:colOff>
      <xdr:row>11</xdr:row>
      <xdr:rowOff>183600</xdr:rowOff>
    </xdr:to>
    <xdr:graphicFrame>
      <xdr:nvGraphicFramePr>
        <xdr:cNvPr id="6" name="Chart 3"/>
        <xdr:cNvGraphicFramePr/>
      </xdr:nvGraphicFramePr>
      <xdr:xfrm>
        <a:off x="11765880" y="866880"/>
        <a:ext cx="2015640" cy="158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</xdr:col>
      <xdr:colOff>0</xdr:colOff>
      <xdr:row>34</xdr:row>
      <xdr:rowOff>0</xdr:rowOff>
    </xdr:from>
    <xdr:to>
      <xdr:col>35</xdr:col>
      <xdr:colOff>59040</xdr:colOff>
      <xdr:row>44</xdr:row>
      <xdr:rowOff>7920</xdr:rowOff>
    </xdr:to>
    <xdr:graphicFrame>
      <xdr:nvGraphicFramePr>
        <xdr:cNvPr id="7" name="Chart 4"/>
        <xdr:cNvGraphicFramePr/>
      </xdr:nvGraphicFramePr>
      <xdr:xfrm>
        <a:off x="1973520" y="7143840"/>
        <a:ext cx="9287640" cy="19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2</xdr:row>
      <xdr:rowOff>0</xdr:rowOff>
    </xdr:from>
    <xdr:to>
      <xdr:col>28</xdr:col>
      <xdr:colOff>122760</xdr:colOff>
      <xdr:row>11</xdr:row>
      <xdr:rowOff>179280</xdr:rowOff>
    </xdr:to>
    <xdr:graphicFrame>
      <xdr:nvGraphicFramePr>
        <xdr:cNvPr id="8" name="Chart 1"/>
        <xdr:cNvGraphicFramePr/>
      </xdr:nvGraphicFramePr>
      <xdr:xfrm>
        <a:off x="1973520" y="466560"/>
        <a:ext cx="7271640" cy="19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26</xdr:col>
      <xdr:colOff>0</xdr:colOff>
      <xdr:row>2</xdr:row>
      <xdr:rowOff>0</xdr:rowOff>
    </xdr:from>
    <xdr:to>
      <xdr:col>34</xdr:col>
      <xdr:colOff>94320</xdr:colOff>
      <xdr:row>11</xdr:row>
      <xdr:rowOff>179280</xdr:rowOff>
    </xdr:to>
    <xdr:graphicFrame>
      <xdr:nvGraphicFramePr>
        <xdr:cNvPr id="9" name="Chart 2"/>
        <xdr:cNvGraphicFramePr/>
      </xdr:nvGraphicFramePr>
      <xdr:xfrm>
        <a:off x="8572680" y="466560"/>
        <a:ext cx="2159640" cy="19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36</xdr:col>
      <xdr:colOff>0</xdr:colOff>
      <xdr:row>4</xdr:row>
      <xdr:rowOff>0</xdr:rowOff>
    </xdr:from>
    <xdr:to>
      <xdr:col>38</xdr:col>
      <xdr:colOff>535320</xdr:colOff>
      <xdr:row>11</xdr:row>
      <xdr:rowOff>183600</xdr:rowOff>
    </xdr:to>
    <xdr:graphicFrame>
      <xdr:nvGraphicFramePr>
        <xdr:cNvPr id="10" name="Chart 3"/>
        <xdr:cNvGraphicFramePr/>
      </xdr:nvGraphicFramePr>
      <xdr:xfrm>
        <a:off x="11765880" y="866880"/>
        <a:ext cx="2015640" cy="158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</xdr:col>
      <xdr:colOff>0</xdr:colOff>
      <xdr:row>34</xdr:row>
      <xdr:rowOff>0</xdr:rowOff>
    </xdr:from>
    <xdr:to>
      <xdr:col>35</xdr:col>
      <xdr:colOff>59040</xdr:colOff>
      <xdr:row>44</xdr:row>
      <xdr:rowOff>7920</xdr:rowOff>
    </xdr:to>
    <xdr:graphicFrame>
      <xdr:nvGraphicFramePr>
        <xdr:cNvPr id="11" name="Chart 4"/>
        <xdr:cNvGraphicFramePr/>
      </xdr:nvGraphicFramePr>
      <xdr:xfrm>
        <a:off x="1973520" y="7143840"/>
        <a:ext cx="9287640" cy="19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2</xdr:row>
      <xdr:rowOff>0</xdr:rowOff>
    </xdr:from>
    <xdr:to>
      <xdr:col>28</xdr:col>
      <xdr:colOff>122760</xdr:colOff>
      <xdr:row>11</xdr:row>
      <xdr:rowOff>179280</xdr:rowOff>
    </xdr:to>
    <xdr:graphicFrame>
      <xdr:nvGraphicFramePr>
        <xdr:cNvPr id="12" name="Chart 1"/>
        <xdr:cNvGraphicFramePr/>
      </xdr:nvGraphicFramePr>
      <xdr:xfrm>
        <a:off x="1973520" y="466560"/>
        <a:ext cx="7271640" cy="19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26</xdr:col>
      <xdr:colOff>0</xdr:colOff>
      <xdr:row>2</xdr:row>
      <xdr:rowOff>0</xdr:rowOff>
    </xdr:from>
    <xdr:to>
      <xdr:col>34</xdr:col>
      <xdr:colOff>94320</xdr:colOff>
      <xdr:row>11</xdr:row>
      <xdr:rowOff>179280</xdr:rowOff>
    </xdr:to>
    <xdr:graphicFrame>
      <xdr:nvGraphicFramePr>
        <xdr:cNvPr id="13" name="Chart 2"/>
        <xdr:cNvGraphicFramePr/>
      </xdr:nvGraphicFramePr>
      <xdr:xfrm>
        <a:off x="8572680" y="466560"/>
        <a:ext cx="2159640" cy="19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36</xdr:col>
      <xdr:colOff>0</xdr:colOff>
      <xdr:row>4</xdr:row>
      <xdr:rowOff>0</xdr:rowOff>
    </xdr:from>
    <xdr:to>
      <xdr:col>38</xdr:col>
      <xdr:colOff>535320</xdr:colOff>
      <xdr:row>11</xdr:row>
      <xdr:rowOff>183600</xdr:rowOff>
    </xdr:to>
    <xdr:graphicFrame>
      <xdr:nvGraphicFramePr>
        <xdr:cNvPr id="14" name="Chart 3"/>
        <xdr:cNvGraphicFramePr/>
      </xdr:nvGraphicFramePr>
      <xdr:xfrm>
        <a:off x="11765880" y="866880"/>
        <a:ext cx="2015640" cy="158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</xdr:col>
      <xdr:colOff>0</xdr:colOff>
      <xdr:row>34</xdr:row>
      <xdr:rowOff>0</xdr:rowOff>
    </xdr:from>
    <xdr:to>
      <xdr:col>35</xdr:col>
      <xdr:colOff>59040</xdr:colOff>
      <xdr:row>44</xdr:row>
      <xdr:rowOff>7920</xdr:rowOff>
    </xdr:to>
    <xdr:graphicFrame>
      <xdr:nvGraphicFramePr>
        <xdr:cNvPr id="15" name="Chart 4"/>
        <xdr:cNvGraphicFramePr/>
      </xdr:nvGraphicFramePr>
      <xdr:xfrm>
        <a:off x="1973520" y="7143840"/>
        <a:ext cx="9287640" cy="19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2</xdr:row>
      <xdr:rowOff>0</xdr:rowOff>
    </xdr:from>
    <xdr:to>
      <xdr:col>28</xdr:col>
      <xdr:colOff>122760</xdr:colOff>
      <xdr:row>11</xdr:row>
      <xdr:rowOff>179280</xdr:rowOff>
    </xdr:to>
    <xdr:graphicFrame>
      <xdr:nvGraphicFramePr>
        <xdr:cNvPr id="16" name="Chart 1"/>
        <xdr:cNvGraphicFramePr/>
      </xdr:nvGraphicFramePr>
      <xdr:xfrm>
        <a:off x="1973520" y="466560"/>
        <a:ext cx="7271640" cy="19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26</xdr:col>
      <xdr:colOff>0</xdr:colOff>
      <xdr:row>2</xdr:row>
      <xdr:rowOff>0</xdr:rowOff>
    </xdr:from>
    <xdr:to>
      <xdr:col>34</xdr:col>
      <xdr:colOff>94320</xdr:colOff>
      <xdr:row>11</xdr:row>
      <xdr:rowOff>179280</xdr:rowOff>
    </xdr:to>
    <xdr:graphicFrame>
      <xdr:nvGraphicFramePr>
        <xdr:cNvPr id="17" name="Chart 2"/>
        <xdr:cNvGraphicFramePr/>
      </xdr:nvGraphicFramePr>
      <xdr:xfrm>
        <a:off x="8572680" y="466560"/>
        <a:ext cx="2159640" cy="19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36</xdr:col>
      <xdr:colOff>0</xdr:colOff>
      <xdr:row>4</xdr:row>
      <xdr:rowOff>0</xdr:rowOff>
    </xdr:from>
    <xdr:to>
      <xdr:col>38</xdr:col>
      <xdr:colOff>535320</xdr:colOff>
      <xdr:row>11</xdr:row>
      <xdr:rowOff>183600</xdr:rowOff>
    </xdr:to>
    <xdr:graphicFrame>
      <xdr:nvGraphicFramePr>
        <xdr:cNvPr id="18" name="Chart 3"/>
        <xdr:cNvGraphicFramePr/>
      </xdr:nvGraphicFramePr>
      <xdr:xfrm>
        <a:off x="11765880" y="866880"/>
        <a:ext cx="2015640" cy="158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</xdr:col>
      <xdr:colOff>0</xdr:colOff>
      <xdr:row>34</xdr:row>
      <xdr:rowOff>0</xdr:rowOff>
    </xdr:from>
    <xdr:to>
      <xdr:col>35</xdr:col>
      <xdr:colOff>59040</xdr:colOff>
      <xdr:row>44</xdr:row>
      <xdr:rowOff>7920</xdr:rowOff>
    </xdr:to>
    <xdr:graphicFrame>
      <xdr:nvGraphicFramePr>
        <xdr:cNvPr id="19" name="Chart 4"/>
        <xdr:cNvGraphicFramePr/>
      </xdr:nvGraphicFramePr>
      <xdr:xfrm>
        <a:off x="1973520" y="7143840"/>
        <a:ext cx="9287640" cy="19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2</xdr:row>
      <xdr:rowOff>0</xdr:rowOff>
    </xdr:from>
    <xdr:to>
      <xdr:col>28</xdr:col>
      <xdr:colOff>122760</xdr:colOff>
      <xdr:row>11</xdr:row>
      <xdr:rowOff>179280</xdr:rowOff>
    </xdr:to>
    <xdr:graphicFrame>
      <xdr:nvGraphicFramePr>
        <xdr:cNvPr id="20" name="Chart 1"/>
        <xdr:cNvGraphicFramePr/>
      </xdr:nvGraphicFramePr>
      <xdr:xfrm>
        <a:off x="1973520" y="466560"/>
        <a:ext cx="7271640" cy="19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26</xdr:col>
      <xdr:colOff>0</xdr:colOff>
      <xdr:row>2</xdr:row>
      <xdr:rowOff>0</xdr:rowOff>
    </xdr:from>
    <xdr:to>
      <xdr:col>34</xdr:col>
      <xdr:colOff>94320</xdr:colOff>
      <xdr:row>11</xdr:row>
      <xdr:rowOff>179280</xdr:rowOff>
    </xdr:to>
    <xdr:graphicFrame>
      <xdr:nvGraphicFramePr>
        <xdr:cNvPr id="21" name="Chart 2"/>
        <xdr:cNvGraphicFramePr/>
      </xdr:nvGraphicFramePr>
      <xdr:xfrm>
        <a:off x="8572680" y="466560"/>
        <a:ext cx="2159640" cy="19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36</xdr:col>
      <xdr:colOff>0</xdr:colOff>
      <xdr:row>4</xdr:row>
      <xdr:rowOff>0</xdr:rowOff>
    </xdr:from>
    <xdr:to>
      <xdr:col>38</xdr:col>
      <xdr:colOff>535320</xdr:colOff>
      <xdr:row>11</xdr:row>
      <xdr:rowOff>183600</xdr:rowOff>
    </xdr:to>
    <xdr:graphicFrame>
      <xdr:nvGraphicFramePr>
        <xdr:cNvPr id="22" name="Chart 3"/>
        <xdr:cNvGraphicFramePr/>
      </xdr:nvGraphicFramePr>
      <xdr:xfrm>
        <a:off x="11765880" y="866880"/>
        <a:ext cx="2015640" cy="158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</xdr:col>
      <xdr:colOff>0</xdr:colOff>
      <xdr:row>34</xdr:row>
      <xdr:rowOff>0</xdr:rowOff>
    </xdr:from>
    <xdr:to>
      <xdr:col>35</xdr:col>
      <xdr:colOff>59040</xdr:colOff>
      <xdr:row>44</xdr:row>
      <xdr:rowOff>7920</xdr:rowOff>
    </xdr:to>
    <xdr:graphicFrame>
      <xdr:nvGraphicFramePr>
        <xdr:cNvPr id="23" name="Chart 4"/>
        <xdr:cNvGraphicFramePr/>
      </xdr:nvGraphicFramePr>
      <xdr:xfrm>
        <a:off x="1973520" y="7143840"/>
        <a:ext cx="9287640" cy="19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2</xdr:row>
      <xdr:rowOff>0</xdr:rowOff>
    </xdr:from>
    <xdr:to>
      <xdr:col>28</xdr:col>
      <xdr:colOff>122760</xdr:colOff>
      <xdr:row>11</xdr:row>
      <xdr:rowOff>179280</xdr:rowOff>
    </xdr:to>
    <xdr:graphicFrame>
      <xdr:nvGraphicFramePr>
        <xdr:cNvPr id="24" name="Chart 1"/>
        <xdr:cNvGraphicFramePr/>
      </xdr:nvGraphicFramePr>
      <xdr:xfrm>
        <a:off x="1973520" y="466560"/>
        <a:ext cx="7271640" cy="19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26</xdr:col>
      <xdr:colOff>0</xdr:colOff>
      <xdr:row>2</xdr:row>
      <xdr:rowOff>0</xdr:rowOff>
    </xdr:from>
    <xdr:to>
      <xdr:col>34</xdr:col>
      <xdr:colOff>94320</xdr:colOff>
      <xdr:row>11</xdr:row>
      <xdr:rowOff>179280</xdr:rowOff>
    </xdr:to>
    <xdr:graphicFrame>
      <xdr:nvGraphicFramePr>
        <xdr:cNvPr id="25" name="Chart 2"/>
        <xdr:cNvGraphicFramePr/>
      </xdr:nvGraphicFramePr>
      <xdr:xfrm>
        <a:off x="8572680" y="466560"/>
        <a:ext cx="2159640" cy="19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36</xdr:col>
      <xdr:colOff>0</xdr:colOff>
      <xdr:row>4</xdr:row>
      <xdr:rowOff>0</xdr:rowOff>
    </xdr:from>
    <xdr:to>
      <xdr:col>38</xdr:col>
      <xdr:colOff>535320</xdr:colOff>
      <xdr:row>11</xdr:row>
      <xdr:rowOff>183600</xdr:rowOff>
    </xdr:to>
    <xdr:graphicFrame>
      <xdr:nvGraphicFramePr>
        <xdr:cNvPr id="26" name="Chart 3"/>
        <xdr:cNvGraphicFramePr/>
      </xdr:nvGraphicFramePr>
      <xdr:xfrm>
        <a:off x="11765880" y="866880"/>
        <a:ext cx="2015640" cy="158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</xdr:col>
      <xdr:colOff>0</xdr:colOff>
      <xdr:row>34</xdr:row>
      <xdr:rowOff>0</xdr:rowOff>
    </xdr:from>
    <xdr:to>
      <xdr:col>35</xdr:col>
      <xdr:colOff>59040</xdr:colOff>
      <xdr:row>44</xdr:row>
      <xdr:rowOff>7920</xdr:rowOff>
    </xdr:to>
    <xdr:graphicFrame>
      <xdr:nvGraphicFramePr>
        <xdr:cNvPr id="27" name="Chart 4"/>
        <xdr:cNvGraphicFramePr/>
      </xdr:nvGraphicFramePr>
      <xdr:xfrm>
        <a:off x="1973520" y="7143840"/>
        <a:ext cx="9287640" cy="19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2</xdr:row>
      <xdr:rowOff>0</xdr:rowOff>
    </xdr:from>
    <xdr:to>
      <xdr:col>28</xdr:col>
      <xdr:colOff>122760</xdr:colOff>
      <xdr:row>11</xdr:row>
      <xdr:rowOff>179280</xdr:rowOff>
    </xdr:to>
    <xdr:graphicFrame>
      <xdr:nvGraphicFramePr>
        <xdr:cNvPr id="28" name="Chart 1"/>
        <xdr:cNvGraphicFramePr/>
      </xdr:nvGraphicFramePr>
      <xdr:xfrm>
        <a:off x="1973520" y="466560"/>
        <a:ext cx="7271640" cy="19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26</xdr:col>
      <xdr:colOff>0</xdr:colOff>
      <xdr:row>2</xdr:row>
      <xdr:rowOff>0</xdr:rowOff>
    </xdr:from>
    <xdr:to>
      <xdr:col>34</xdr:col>
      <xdr:colOff>94320</xdr:colOff>
      <xdr:row>11</xdr:row>
      <xdr:rowOff>179280</xdr:rowOff>
    </xdr:to>
    <xdr:graphicFrame>
      <xdr:nvGraphicFramePr>
        <xdr:cNvPr id="29" name="Chart 2"/>
        <xdr:cNvGraphicFramePr/>
      </xdr:nvGraphicFramePr>
      <xdr:xfrm>
        <a:off x="8572680" y="466560"/>
        <a:ext cx="2159640" cy="19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36</xdr:col>
      <xdr:colOff>0</xdr:colOff>
      <xdr:row>4</xdr:row>
      <xdr:rowOff>0</xdr:rowOff>
    </xdr:from>
    <xdr:to>
      <xdr:col>38</xdr:col>
      <xdr:colOff>535320</xdr:colOff>
      <xdr:row>11</xdr:row>
      <xdr:rowOff>183600</xdr:rowOff>
    </xdr:to>
    <xdr:graphicFrame>
      <xdr:nvGraphicFramePr>
        <xdr:cNvPr id="30" name="Chart 3"/>
        <xdr:cNvGraphicFramePr/>
      </xdr:nvGraphicFramePr>
      <xdr:xfrm>
        <a:off x="11765880" y="866880"/>
        <a:ext cx="2015640" cy="158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</xdr:col>
      <xdr:colOff>0</xdr:colOff>
      <xdr:row>34</xdr:row>
      <xdr:rowOff>0</xdr:rowOff>
    </xdr:from>
    <xdr:to>
      <xdr:col>35</xdr:col>
      <xdr:colOff>59040</xdr:colOff>
      <xdr:row>44</xdr:row>
      <xdr:rowOff>7920</xdr:rowOff>
    </xdr:to>
    <xdr:graphicFrame>
      <xdr:nvGraphicFramePr>
        <xdr:cNvPr id="31" name="Chart 4"/>
        <xdr:cNvGraphicFramePr/>
      </xdr:nvGraphicFramePr>
      <xdr:xfrm>
        <a:off x="1973520" y="7143840"/>
        <a:ext cx="9287640" cy="19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2</xdr:row>
      <xdr:rowOff>0</xdr:rowOff>
    </xdr:from>
    <xdr:to>
      <xdr:col>28</xdr:col>
      <xdr:colOff>122760</xdr:colOff>
      <xdr:row>11</xdr:row>
      <xdr:rowOff>179280</xdr:rowOff>
    </xdr:to>
    <xdr:graphicFrame>
      <xdr:nvGraphicFramePr>
        <xdr:cNvPr id="32" name="Chart 1"/>
        <xdr:cNvGraphicFramePr/>
      </xdr:nvGraphicFramePr>
      <xdr:xfrm>
        <a:off x="1973520" y="466560"/>
        <a:ext cx="7271640" cy="19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26</xdr:col>
      <xdr:colOff>0</xdr:colOff>
      <xdr:row>2</xdr:row>
      <xdr:rowOff>0</xdr:rowOff>
    </xdr:from>
    <xdr:to>
      <xdr:col>34</xdr:col>
      <xdr:colOff>94320</xdr:colOff>
      <xdr:row>11</xdr:row>
      <xdr:rowOff>179280</xdr:rowOff>
    </xdr:to>
    <xdr:graphicFrame>
      <xdr:nvGraphicFramePr>
        <xdr:cNvPr id="33" name="Chart 2"/>
        <xdr:cNvGraphicFramePr/>
      </xdr:nvGraphicFramePr>
      <xdr:xfrm>
        <a:off x="8572680" y="466560"/>
        <a:ext cx="2159640" cy="19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36</xdr:col>
      <xdr:colOff>0</xdr:colOff>
      <xdr:row>4</xdr:row>
      <xdr:rowOff>0</xdr:rowOff>
    </xdr:from>
    <xdr:to>
      <xdr:col>38</xdr:col>
      <xdr:colOff>535320</xdr:colOff>
      <xdr:row>11</xdr:row>
      <xdr:rowOff>183600</xdr:rowOff>
    </xdr:to>
    <xdr:graphicFrame>
      <xdr:nvGraphicFramePr>
        <xdr:cNvPr id="34" name="Chart 3"/>
        <xdr:cNvGraphicFramePr/>
      </xdr:nvGraphicFramePr>
      <xdr:xfrm>
        <a:off x="11765880" y="866880"/>
        <a:ext cx="2015640" cy="158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</xdr:col>
      <xdr:colOff>0</xdr:colOff>
      <xdr:row>34</xdr:row>
      <xdr:rowOff>0</xdr:rowOff>
    </xdr:from>
    <xdr:to>
      <xdr:col>35</xdr:col>
      <xdr:colOff>59040</xdr:colOff>
      <xdr:row>44</xdr:row>
      <xdr:rowOff>7920</xdr:rowOff>
    </xdr:to>
    <xdr:graphicFrame>
      <xdr:nvGraphicFramePr>
        <xdr:cNvPr id="35" name="Chart 4"/>
        <xdr:cNvGraphicFramePr/>
      </xdr:nvGraphicFramePr>
      <xdr:xfrm>
        <a:off x="1973520" y="7143840"/>
        <a:ext cx="9287640" cy="19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2</xdr:row>
      <xdr:rowOff>0</xdr:rowOff>
    </xdr:from>
    <xdr:to>
      <xdr:col>28</xdr:col>
      <xdr:colOff>122760</xdr:colOff>
      <xdr:row>11</xdr:row>
      <xdr:rowOff>179280</xdr:rowOff>
    </xdr:to>
    <xdr:graphicFrame>
      <xdr:nvGraphicFramePr>
        <xdr:cNvPr id="36" name="Chart 1"/>
        <xdr:cNvGraphicFramePr/>
      </xdr:nvGraphicFramePr>
      <xdr:xfrm>
        <a:off x="1973520" y="466560"/>
        <a:ext cx="7271640" cy="19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26</xdr:col>
      <xdr:colOff>0</xdr:colOff>
      <xdr:row>2</xdr:row>
      <xdr:rowOff>0</xdr:rowOff>
    </xdr:from>
    <xdr:to>
      <xdr:col>34</xdr:col>
      <xdr:colOff>94320</xdr:colOff>
      <xdr:row>11</xdr:row>
      <xdr:rowOff>179280</xdr:rowOff>
    </xdr:to>
    <xdr:graphicFrame>
      <xdr:nvGraphicFramePr>
        <xdr:cNvPr id="37" name="Chart 2"/>
        <xdr:cNvGraphicFramePr/>
      </xdr:nvGraphicFramePr>
      <xdr:xfrm>
        <a:off x="8572680" y="466560"/>
        <a:ext cx="2159640" cy="19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36</xdr:col>
      <xdr:colOff>0</xdr:colOff>
      <xdr:row>4</xdr:row>
      <xdr:rowOff>0</xdr:rowOff>
    </xdr:from>
    <xdr:to>
      <xdr:col>38</xdr:col>
      <xdr:colOff>535320</xdr:colOff>
      <xdr:row>11</xdr:row>
      <xdr:rowOff>183600</xdr:rowOff>
    </xdr:to>
    <xdr:graphicFrame>
      <xdr:nvGraphicFramePr>
        <xdr:cNvPr id="38" name="Chart 3"/>
        <xdr:cNvGraphicFramePr/>
      </xdr:nvGraphicFramePr>
      <xdr:xfrm>
        <a:off x="11765880" y="866880"/>
        <a:ext cx="2015640" cy="158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</xdr:col>
      <xdr:colOff>0</xdr:colOff>
      <xdr:row>34</xdr:row>
      <xdr:rowOff>0</xdr:rowOff>
    </xdr:from>
    <xdr:to>
      <xdr:col>35</xdr:col>
      <xdr:colOff>59040</xdr:colOff>
      <xdr:row>44</xdr:row>
      <xdr:rowOff>7920</xdr:rowOff>
    </xdr:to>
    <xdr:graphicFrame>
      <xdr:nvGraphicFramePr>
        <xdr:cNvPr id="39" name="Chart 4"/>
        <xdr:cNvGraphicFramePr/>
      </xdr:nvGraphicFramePr>
      <xdr:xfrm>
        <a:off x="1973520" y="7143840"/>
        <a:ext cx="9287640" cy="19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2</xdr:row>
      <xdr:rowOff>0</xdr:rowOff>
    </xdr:from>
    <xdr:to>
      <xdr:col>28</xdr:col>
      <xdr:colOff>122760</xdr:colOff>
      <xdr:row>11</xdr:row>
      <xdr:rowOff>179280</xdr:rowOff>
    </xdr:to>
    <xdr:graphicFrame>
      <xdr:nvGraphicFramePr>
        <xdr:cNvPr id="40" name="Chart 1"/>
        <xdr:cNvGraphicFramePr/>
      </xdr:nvGraphicFramePr>
      <xdr:xfrm>
        <a:off x="1973520" y="466560"/>
        <a:ext cx="7271640" cy="19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26</xdr:col>
      <xdr:colOff>0</xdr:colOff>
      <xdr:row>2</xdr:row>
      <xdr:rowOff>0</xdr:rowOff>
    </xdr:from>
    <xdr:to>
      <xdr:col>34</xdr:col>
      <xdr:colOff>94320</xdr:colOff>
      <xdr:row>11</xdr:row>
      <xdr:rowOff>179280</xdr:rowOff>
    </xdr:to>
    <xdr:graphicFrame>
      <xdr:nvGraphicFramePr>
        <xdr:cNvPr id="41" name="Chart 2"/>
        <xdr:cNvGraphicFramePr/>
      </xdr:nvGraphicFramePr>
      <xdr:xfrm>
        <a:off x="8572680" y="466560"/>
        <a:ext cx="2159640" cy="19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36</xdr:col>
      <xdr:colOff>0</xdr:colOff>
      <xdr:row>4</xdr:row>
      <xdr:rowOff>0</xdr:rowOff>
    </xdr:from>
    <xdr:to>
      <xdr:col>38</xdr:col>
      <xdr:colOff>535320</xdr:colOff>
      <xdr:row>11</xdr:row>
      <xdr:rowOff>183600</xdr:rowOff>
    </xdr:to>
    <xdr:graphicFrame>
      <xdr:nvGraphicFramePr>
        <xdr:cNvPr id="42" name="Chart 3"/>
        <xdr:cNvGraphicFramePr/>
      </xdr:nvGraphicFramePr>
      <xdr:xfrm>
        <a:off x="11765880" y="866880"/>
        <a:ext cx="2015640" cy="158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</xdr:col>
      <xdr:colOff>0</xdr:colOff>
      <xdr:row>34</xdr:row>
      <xdr:rowOff>0</xdr:rowOff>
    </xdr:from>
    <xdr:to>
      <xdr:col>35</xdr:col>
      <xdr:colOff>59040</xdr:colOff>
      <xdr:row>44</xdr:row>
      <xdr:rowOff>7920</xdr:rowOff>
    </xdr:to>
    <xdr:graphicFrame>
      <xdr:nvGraphicFramePr>
        <xdr:cNvPr id="43" name="Chart 4"/>
        <xdr:cNvGraphicFramePr/>
      </xdr:nvGraphicFramePr>
      <xdr:xfrm>
        <a:off x="1973520" y="7143840"/>
        <a:ext cx="9287640" cy="19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2</xdr:row>
      <xdr:rowOff>0</xdr:rowOff>
    </xdr:from>
    <xdr:to>
      <xdr:col>28</xdr:col>
      <xdr:colOff>122760</xdr:colOff>
      <xdr:row>11</xdr:row>
      <xdr:rowOff>179280</xdr:rowOff>
    </xdr:to>
    <xdr:graphicFrame>
      <xdr:nvGraphicFramePr>
        <xdr:cNvPr id="44" name="Chart 1"/>
        <xdr:cNvGraphicFramePr/>
      </xdr:nvGraphicFramePr>
      <xdr:xfrm>
        <a:off x="1973520" y="466560"/>
        <a:ext cx="7271640" cy="19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26</xdr:col>
      <xdr:colOff>0</xdr:colOff>
      <xdr:row>2</xdr:row>
      <xdr:rowOff>0</xdr:rowOff>
    </xdr:from>
    <xdr:to>
      <xdr:col>34</xdr:col>
      <xdr:colOff>94320</xdr:colOff>
      <xdr:row>11</xdr:row>
      <xdr:rowOff>179280</xdr:rowOff>
    </xdr:to>
    <xdr:graphicFrame>
      <xdr:nvGraphicFramePr>
        <xdr:cNvPr id="45" name="Chart 2"/>
        <xdr:cNvGraphicFramePr/>
      </xdr:nvGraphicFramePr>
      <xdr:xfrm>
        <a:off x="8572680" y="466560"/>
        <a:ext cx="2159640" cy="19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36</xdr:col>
      <xdr:colOff>0</xdr:colOff>
      <xdr:row>4</xdr:row>
      <xdr:rowOff>0</xdr:rowOff>
    </xdr:from>
    <xdr:to>
      <xdr:col>38</xdr:col>
      <xdr:colOff>535320</xdr:colOff>
      <xdr:row>11</xdr:row>
      <xdr:rowOff>183600</xdr:rowOff>
    </xdr:to>
    <xdr:graphicFrame>
      <xdr:nvGraphicFramePr>
        <xdr:cNvPr id="46" name="Chart 3"/>
        <xdr:cNvGraphicFramePr/>
      </xdr:nvGraphicFramePr>
      <xdr:xfrm>
        <a:off x="11765880" y="866880"/>
        <a:ext cx="2015640" cy="158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</xdr:col>
      <xdr:colOff>0</xdr:colOff>
      <xdr:row>34</xdr:row>
      <xdr:rowOff>0</xdr:rowOff>
    </xdr:from>
    <xdr:to>
      <xdr:col>35</xdr:col>
      <xdr:colOff>59040</xdr:colOff>
      <xdr:row>44</xdr:row>
      <xdr:rowOff>7920</xdr:rowOff>
    </xdr:to>
    <xdr:graphicFrame>
      <xdr:nvGraphicFramePr>
        <xdr:cNvPr id="47" name="Chart 4"/>
        <xdr:cNvGraphicFramePr/>
      </xdr:nvGraphicFramePr>
      <xdr:xfrm>
        <a:off x="1973520" y="7143840"/>
        <a:ext cx="9287640" cy="19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433"/>
    <pageSetUpPr fitToPage="false"/>
  </sheetPr>
  <dimension ref="A1:AQ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0" topLeftCell="C1" activePane="topRight" state="frozen"/>
      <selection pane="topLeft" activeCell="A1" activeCellId="0" sqref="A1"/>
      <selection pane="top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3" min="3" style="0" width="3.9"/>
    <col collapsed="false" customWidth="true" hidden="false" outlineLevel="0" max="34" min="34" style="0" width="2"/>
    <col collapsed="false" customWidth="true" hidden="false" outlineLevel="0" max="36" min="35" style="0" width="8"/>
    <col collapsed="false" customWidth="true" hidden="false" outlineLevel="0" max="37" min="37" style="0" width="7"/>
    <col collapsed="false" customWidth="true" hidden="false" outlineLevel="0" max="38" min="38" style="0" width="14"/>
    <col collapsed="false" customWidth="true" hidden="false" outlineLevel="0" max="39" min="39" style="0" width="8"/>
    <col collapsed="false" customWidth="true" hidden="true" outlineLevel="0" max="43" min="40" style="0" width="13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Q1" s="2" t="s">
        <v>0</v>
      </c>
    </row>
    <row r="2" customFormat="false" ht="21.75" hidden="false" customHeight="true" outlineLevel="0" collapsed="false">
      <c r="A2" s="1"/>
      <c r="B2" s="3" t="s">
        <v>1</v>
      </c>
      <c r="C2" s="4" t="s">
        <v>2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 t="s">
        <v>3</v>
      </c>
      <c r="AB2" s="4"/>
      <c r="AC2" s="4"/>
      <c r="AD2" s="4"/>
      <c r="AE2" s="4"/>
      <c r="AF2" s="4"/>
      <c r="AG2" s="4"/>
      <c r="AH2" s="1"/>
      <c r="AI2" s="4" t="s">
        <v>4</v>
      </c>
      <c r="AJ2" s="4"/>
      <c r="AK2" s="4" t="s">
        <v>5</v>
      </c>
      <c r="AL2" s="4"/>
      <c r="AM2" s="4"/>
      <c r="AN2" s="1"/>
      <c r="AO2" s="1" t="s">
        <v>6</v>
      </c>
      <c r="AP2" s="2" t="n">
        <f aca="false">MATCH($B$9,$AQ$1:$AQ$12,0)</f>
        <v>1</v>
      </c>
      <c r="AQ2" s="2" t="s">
        <v>7</v>
      </c>
    </row>
    <row r="3" customFormat="false" ht="15.75" hidden="false" customHeight="true" outlineLevel="0" collapsed="false">
      <c r="A3" s="1"/>
      <c r="B3" s="3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5" t="n">
        <f aca="false">SUMPRODUCT(--(LEN($B$17:$B$28)&gt;0))*$AP$3</f>
        <v>310</v>
      </c>
      <c r="AJ3" s="5"/>
      <c r="AK3" s="6" t="n">
        <f aca="false">IF(AI3=0,0,AI6/AI3)</f>
        <v>0</v>
      </c>
      <c r="AL3" s="6"/>
      <c r="AM3" s="6"/>
      <c r="AN3" s="1"/>
      <c r="AO3" s="1" t="s">
        <v>8</v>
      </c>
      <c r="AP3" s="2" t="n">
        <f aca="false">DAY(DATE($B$7,$AP$2+1,0))</f>
        <v>31</v>
      </c>
      <c r="AQ3" s="2" t="s">
        <v>9</v>
      </c>
    </row>
    <row r="4" customFormat="false" ht="15.7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5"/>
      <c r="AJ4" s="5"/>
      <c r="AK4" s="6"/>
      <c r="AL4" s="6"/>
      <c r="AM4" s="6"/>
      <c r="AN4" s="1"/>
      <c r="AO4" s="1"/>
      <c r="AQ4" s="2" t="s">
        <v>10</v>
      </c>
    </row>
    <row r="5" customFormat="false" ht="15.75" hidden="false" customHeight="true" outlineLevel="0" collapsed="false">
      <c r="A5" s="1"/>
      <c r="B5" s="7" t="s">
        <v>11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4" t="s">
        <v>12</v>
      </c>
      <c r="AJ5" s="4"/>
      <c r="AK5" s="1"/>
      <c r="AL5" s="1"/>
      <c r="AM5" s="1"/>
      <c r="AN5" s="1"/>
      <c r="AO5" s="1" t="s">
        <v>12</v>
      </c>
      <c r="AP5" s="2" t="n">
        <f aca="false">AI6</f>
        <v>0</v>
      </c>
      <c r="AQ5" s="2" t="s">
        <v>13</v>
      </c>
    </row>
    <row r="6" customFormat="false" ht="15.75" hidden="false" customHeight="true" outlineLevel="0" collapsed="false">
      <c r="A6" s="1"/>
      <c r="B6" s="8" t="s">
        <v>14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5" t="n">
        <f aca="false">SUMPRODUCT(($B$17:$B$28&lt;&gt;"")*($C$17:$AG$28=TRUE()))</f>
        <v>0</v>
      </c>
      <c r="AJ6" s="5"/>
      <c r="AK6" s="1"/>
      <c r="AL6" s="1"/>
      <c r="AM6" s="1"/>
      <c r="AN6" s="1"/>
      <c r="AO6" s="1" t="s">
        <v>15</v>
      </c>
      <c r="AP6" s="2" t="n">
        <f aca="false">AI9</f>
        <v>310</v>
      </c>
      <c r="AQ6" s="2" t="s">
        <v>16</v>
      </c>
    </row>
    <row r="7" customFormat="false" ht="15.75" hidden="false" customHeight="true" outlineLevel="0" collapsed="false">
      <c r="A7" s="1"/>
      <c r="B7" s="9" t="n">
        <v>2026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5"/>
      <c r="AJ7" s="5"/>
      <c r="AK7" s="1"/>
      <c r="AL7" s="1"/>
      <c r="AM7" s="1"/>
      <c r="AN7" s="1"/>
      <c r="AO7" s="1"/>
      <c r="AQ7" s="2" t="s">
        <v>17</v>
      </c>
    </row>
    <row r="8" customFormat="false" ht="15.75" hidden="false" customHeight="true" outlineLevel="0" collapsed="false">
      <c r="A8" s="1"/>
      <c r="B8" s="8" t="s">
        <v>18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4" t="s">
        <v>15</v>
      </c>
      <c r="AJ8" s="4"/>
      <c r="AK8" s="1"/>
      <c r="AL8" s="1"/>
      <c r="AM8" s="1"/>
      <c r="AN8" s="1"/>
      <c r="AO8" s="1" t="s">
        <v>19</v>
      </c>
      <c r="AP8" s="2" t="n">
        <f aca="false">IF(OR(COUNTIF(C$16:I$16,"&gt;0")=0,SUMPRODUCT(--(LEN($B$17:$B$28)&gt;0))=0),0,SUMPRODUCT(($B$17:$B$28&lt;&gt;"")*(C$17:I$28=TRUE()))/(SUMPRODUCT(--(LEN($B$17:$B$28)&gt;0))*COUNTIF(C$16:I$16,"&gt;0")))</f>
        <v>0</v>
      </c>
      <c r="AQ8" s="2" t="s">
        <v>20</v>
      </c>
    </row>
    <row r="9" customFormat="false" ht="15.75" hidden="false" customHeight="true" outlineLevel="0" collapsed="false">
      <c r="A9" s="1"/>
      <c r="B9" s="9" t="s">
        <v>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5" t="n">
        <f aca="false">AI3-AI6</f>
        <v>310</v>
      </c>
      <c r="AJ9" s="5"/>
      <c r="AK9" s="1"/>
      <c r="AL9" s="1"/>
      <c r="AM9" s="1"/>
      <c r="AN9" s="1"/>
      <c r="AO9" s="1" t="s">
        <v>21</v>
      </c>
      <c r="AP9" s="2" t="n">
        <f aca="false">IF(OR(COUNTIF(J$16:P$16,"&gt;0")=0,SUMPRODUCT(--(LEN($B$17:$B$28)&gt;0))=0),0,SUMPRODUCT(($B$17:$B$28&lt;&gt;"")*(J$17:P$28=TRUE()))/(SUMPRODUCT(--(LEN($B$17:$B$28)&gt;0))*COUNTIF(J$16:P$16,"&gt;0")))</f>
        <v>0</v>
      </c>
      <c r="AQ9" s="2" t="s">
        <v>22</v>
      </c>
    </row>
    <row r="10" customFormat="false" ht="15.75" hidden="false" customHeight="true" outlineLevel="0" collapsed="false">
      <c r="A10" s="1"/>
      <c r="B10" s="10" t="s">
        <v>23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5"/>
      <c r="AJ10" s="5"/>
      <c r="AK10" s="1"/>
      <c r="AL10" s="1"/>
      <c r="AM10" s="1"/>
      <c r="AN10" s="1"/>
      <c r="AO10" s="1" t="s">
        <v>24</v>
      </c>
      <c r="AP10" s="2" t="n">
        <f aca="false">IF(OR(COUNTIF(Q$16:W$16,"&gt;0")=0,SUMPRODUCT(--(LEN($B$17:$B$28)&gt;0))=0),0,SUMPRODUCT(($B$17:$B$28&lt;&gt;"")*(Q$17:W$28=TRUE()))/(SUMPRODUCT(--(LEN($B$17:$B$28)&gt;0))*COUNTIF(Q$16:W$16,"&gt;0")))</f>
        <v>0</v>
      </c>
      <c r="AQ10" s="2" t="s">
        <v>25</v>
      </c>
    </row>
    <row r="11" customFormat="false" ht="15.75" hidden="false" customHeight="true" outlineLevel="0" collapsed="false">
      <c r="A11" s="1"/>
      <c r="B11" s="10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 t="s">
        <v>26</v>
      </c>
      <c r="AP11" s="2" t="n">
        <f aca="false">IF(OR(COUNTIF(X$16:AD$16,"&gt;0")=0,SUMPRODUCT(--(LEN($B$17:$B$28)&gt;0))=0),0,SUMPRODUCT(($B$17:$B$28&lt;&gt;"")*(X$17:AD$28=TRUE()))/(SUMPRODUCT(--(LEN($B$17:$B$28)&gt;0))*COUNTIF(X$16:AD$16,"&gt;0")))</f>
        <v>0</v>
      </c>
      <c r="AQ11" s="2" t="s">
        <v>27</v>
      </c>
    </row>
    <row r="12" customFormat="false" ht="15.75" hidden="false" customHeight="true" outlineLevel="0" collapsed="false">
      <c r="A12" s="1"/>
      <c r="B12" s="10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 t="s">
        <v>28</v>
      </c>
      <c r="AP12" s="2" t="n">
        <f aca="false">IF(OR(COUNTIF(AE$16:AG$16,"&gt;0")=0,SUMPRODUCT(--(LEN($B$17:$B$28)&gt;0))=0),0,SUMPRODUCT(($B$17:$B$28&lt;&gt;"")*(AE$17:AG$28=TRUE()))/(SUMPRODUCT(--(LEN($B$17:$B$28)&gt;0))*COUNTIF(AE$16:AG$16,"&gt;0")))</f>
        <v>0</v>
      </c>
      <c r="AQ12" s="2" t="s">
        <v>29</v>
      </c>
    </row>
    <row r="13" customFormat="false" ht="15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</row>
    <row r="14" customFormat="false" ht="15" hidden="false" customHeight="false" outlineLevel="0" collapsed="false">
      <c r="A14" s="1"/>
      <c r="B14" s="11" t="s">
        <v>30</v>
      </c>
      <c r="C14" s="12" t="s">
        <v>19</v>
      </c>
      <c r="D14" s="12"/>
      <c r="E14" s="12"/>
      <c r="F14" s="12"/>
      <c r="G14" s="12"/>
      <c r="H14" s="12"/>
      <c r="I14" s="12"/>
      <c r="J14" s="12" t="s">
        <v>21</v>
      </c>
      <c r="K14" s="12"/>
      <c r="L14" s="12"/>
      <c r="M14" s="12"/>
      <c r="N14" s="12"/>
      <c r="O14" s="12"/>
      <c r="P14" s="12"/>
      <c r="Q14" s="12" t="s">
        <v>24</v>
      </c>
      <c r="R14" s="12"/>
      <c r="S14" s="12"/>
      <c r="T14" s="12"/>
      <c r="U14" s="12"/>
      <c r="V14" s="12"/>
      <c r="W14" s="12"/>
      <c r="X14" s="12" t="s">
        <v>26</v>
      </c>
      <c r="Y14" s="12"/>
      <c r="Z14" s="12"/>
      <c r="AA14" s="12"/>
      <c r="AB14" s="12"/>
      <c r="AC14" s="12"/>
      <c r="AD14" s="12"/>
      <c r="AE14" s="12" t="s">
        <v>28</v>
      </c>
      <c r="AF14" s="12"/>
      <c r="AG14" s="12"/>
      <c r="AH14" s="1"/>
      <c r="AI14" s="13" t="s">
        <v>31</v>
      </c>
      <c r="AJ14" s="13"/>
      <c r="AK14" s="13"/>
      <c r="AL14" s="13"/>
      <c r="AM14" s="13"/>
      <c r="AN14" s="1"/>
      <c r="AO14" s="1"/>
    </row>
    <row r="15" customFormat="false" ht="15" hidden="false" customHeight="false" outlineLevel="0" collapsed="false">
      <c r="A15" s="1"/>
      <c r="B15" s="11"/>
      <c r="C15" s="14" t="str">
        <f aca="false">IF(1&gt;$AP$3,"",CHOOSE(WEEKDAY(DATE($B$7,$AP$2,1)),"Su","Mo","Tu","We","Th","Fr","Sa"))</f>
        <v>Th</v>
      </c>
      <c r="D15" s="14" t="str">
        <f aca="false">IF(2&gt;$AP$3,"",CHOOSE(WEEKDAY(DATE($B$7,$AP$2,2)),"Su","Mo","Tu","We","Th","Fr","Sa"))</f>
        <v>Fr</v>
      </c>
      <c r="E15" s="14" t="str">
        <f aca="false">IF(3&gt;$AP$3,"",CHOOSE(WEEKDAY(DATE($B$7,$AP$2,3)),"Su","Mo","Tu","We","Th","Fr","Sa"))</f>
        <v>Sa</v>
      </c>
      <c r="F15" s="14" t="str">
        <f aca="false">IF(4&gt;$AP$3,"",CHOOSE(WEEKDAY(DATE($B$7,$AP$2,4)),"Su","Mo","Tu","We","Th","Fr","Sa"))</f>
        <v>Su</v>
      </c>
      <c r="G15" s="14" t="str">
        <f aca="false">IF(5&gt;$AP$3,"",CHOOSE(WEEKDAY(DATE($B$7,$AP$2,5)),"Su","Mo","Tu","We","Th","Fr","Sa"))</f>
        <v>Mo</v>
      </c>
      <c r="H15" s="14" t="str">
        <f aca="false">IF(6&gt;$AP$3,"",CHOOSE(WEEKDAY(DATE($B$7,$AP$2,6)),"Su","Mo","Tu","We","Th","Fr","Sa"))</f>
        <v>Tu</v>
      </c>
      <c r="I15" s="14" t="str">
        <f aca="false">IF(7&gt;$AP$3,"",CHOOSE(WEEKDAY(DATE($B$7,$AP$2,7)),"Su","Mo","Tu","We","Th","Fr","Sa"))</f>
        <v>We</v>
      </c>
      <c r="J15" s="14" t="str">
        <f aca="false">IF(8&gt;$AP$3,"",CHOOSE(WEEKDAY(DATE($B$7,$AP$2,8)),"Su","Mo","Tu","We","Th","Fr","Sa"))</f>
        <v>Th</v>
      </c>
      <c r="K15" s="14" t="str">
        <f aca="false">IF(9&gt;$AP$3,"",CHOOSE(WEEKDAY(DATE($B$7,$AP$2,9)),"Su","Mo","Tu","We","Th","Fr","Sa"))</f>
        <v>Fr</v>
      </c>
      <c r="L15" s="14" t="str">
        <f aca="false">IF(10&gt;$AP$3,"",CHOOSE(WEEKDAY(DATE($B$7,$AP$2,10)),"Su","Mo","Tu","We","Th","Fr","Sa"))</f>
        <v>Sa</v>
      </c>
      <c r="M15" s="14" t="str">
        <f aca="false">IF(11&gt;$AP$3,"",CHOOSE(WEEKDAY(DATE($B$7,$AP$2,11)),"Su","Mo","Tu","We","Th","Fr","Sa"))</f>
        <v>Su</v>
      </c>
      <c r="N15" s="14" t="str">
        <f aca="false">IF(12&gt;$AP$3,"",CHOOSE(WEEKDAY(DATE($B$7,$AP$2,12)),"Su","Mo","Tu","We","Th","Fr","Sa"))</f>
        <v>Mo</v>
      </c>
      <c r="O15" s="14" t="str">
        <f aca="false">IF(13&gt;$AP$3,"",CHOOSE(WEEKDAY(DATE($B$7,$AP$2,13)),"Su","Mo","Tu","We","Th","Fr","Sa"))</f>
        <v>Tu</v>
      </c>
      <c r="P15" s="14" t="str">
        <f aca="false">IF(14&gt;$AP$3,"",CHOOSE(WEEKDAY(DATE($B$7,$AP$2,14)),"Su","Mo","Tu","We","Th","Fr","Sa"))</f>
        <v>We</v>
      </c>
      <c r="Q15" s="14" t="str">
        <f aca="false">IF(15&gt;$AP$3,"",CHOOSE(WEEKDAY(DATE($B$7,$AP$2,15)),"Su","Mo","Tu","We","Th","Fr","Sa"))</f>
        <v>Th</v>
      </c>
      <c r="R15" s="14" t="str">
        <f aca="false">IF(16&gt;$AP$3,"",CHOOSE(WEEKDAY(DATE($B$7,$AP$2,16)),"Su","Mo","Tu","We","Th","Fr","Sa"))</f>
        <v>Fr</v>
      </c>
      <c r="S15" s="14" t="str">
        <f aca="false">IF(17&gt;$AP$3,"",CHOOSE(WEEKDAY(DATE($B$7,$AP$2,17)),"Su","Mo","Tu","We","Th","Fr","Sa"))</f>
        <v>Sa</v>
      </c>
      <c r="T15" s="14" t="str">
        <f aca="false">IF(18&gt;$AP$3,"",CHOOSE(WEEKDAY(DATE($B$7,$AP$2,18)),"Su","Mo","Tu","We","Th","Fr","Sa"))</f>
        <v>Su</v>
      </c>
      <c r="U15" s="14" t="str">
        <f aca="false">IF(19&gt;$AP$3,"",CHOOSE(WEEKDAY(DATE($B$7,$AP$2,19)),"Su","Mo","Tu","We","Th","Fr","Sa"))</f>
        <v>Mo</v>
      </c>
      <c r="V15" s="14" t="str">
        <f aca="false">IF(20&gt;$AP$3,"",CHOOSE(WEEKDAY(DATE($B$7,$AP$2,20)),"Su","Mo","Tu","We","Th","Fr","Sa"))</f>
        <v>Tu</v>
      </c>
      <c r="W15" s="14" t="str">
        <f aca="false">IF(21&gt;$AP$3,"",CHOOSE(WEEKDAY(DATE($B$7,$AP$2,21)),"Su","Mo","Tu","We","Th","Fr","Sa"))</f>
        <v>We</v>
      </c>
      <c r="X15" s="14" t="str">
        <f aca="false">IF(22&gt;$AP$3,"",CHOOSE(WEEKDAY(DATE($B$7,$AP$2,22)),"Su","Mo","Tu","We","Th","Fr","Sa"))</f>
        <v>Th</v>
      </c>
      <c r="Y15" s="14" t="str">
        <f aca="false">IF(23&gt;$AP$3,"",CHOOSE(WEEKDAY(DATE($B$7,$AP$2,23)),"Su","Mo","Tu","We","Th","Fr","Sa"))</f>
        <v>Fr</v>
      </c>
      <c r="Z15" s="14" t="str">
        <f aca="false">IF(24&gt;$AP$3,"",CHOOSE(WEEKDAY(DATE($B$7,$AP$2,24)),"Su","Mo","Tu","We","Th","Fr","Sa"))</f>
        <v>Sa</v>
      </c>
      <c r="AA15" s="14" t="str">
        <f aca="false">IF(25&gt;$AP$3,"",CHOOSE(WEEKDAY(DATE($B$7,$AP$2,25)),"Su","Mo","Tu","We","Th","Fr","Sa"))</f>
        <v>Su</v>
      </c>
      <c r="AB15" s="14" t="str">
        <f aca="false">IF(26&gt;$AP$3,"",CHOOSE(WEEKDAY(DATE($B$7,$AP$2,26)),"Su","Mo","Tu","We","Th","Fr","Sa"))</f>
        <v>Mo</v>
      </c>
      <c r="AC15" s="14" t="str">
        <f aca="false">IF(27&gt;$AP$3,"",CHOOSE(WEEKDAY(DATE($B$7,$AP$2,27)),"Su","Mo","Tu","We","Th","Fr","Sa"))</f>
        <v>Tu</v>
      </c>
      <c r="AD15" s="14" t="str">
        <f aca="false">IF(28&gt;$AP$3,"",CHOOSE(WEEKDAY(DATE($B$7,$AP$2,28)),"Su","Mo","Tu","We","Th","Fr","Sa"))</f>
        <v>We</v>
      </c>
      <c r="AE15" s="14" t="str">
        <f aca="false">IF(29&gt;$AP$3,"",CHOOSE(WEEKDAY(DATE($B$7,$AP$2,29)),"Su","Mo","Tu","We","Th","Fr","Sa"))</f>
        <v>Th</v>
      </c>
      <c r="AF15" s="14" t="str">
        <f aca="false">IF(30&gt;$AP$3,"",CHOOSE(WEEKDAY(DATE($B$7,$AP$2,30)),"Su","Mo","Tu","We","Th","Fr","Sa"))</f>
        <v>Fr</v>
      </c>
      <c r="AG15" s="14" t="str">
        <f aca="false">IF(31&gt;$AP$3,"",CHOOSE(WEEKDAY(DATE($B$7,$AP$2,31)),"Su","Mo","Tu","We","Th","Fr","Sa"))</f>
        <v>Sa</v>
      </c>
      <c r="AH15" s="1"/>
      <c r="AI15" s="13"/>
      <c r="AJ15" s="13"/>
      <c r="AK15" s="13"/>
      <c r="AL15" s="13"/>
      <c r="AM15" s="13"/>
      <c r="AN15" s="1"/>
      <c r="AO15" s="1"/>
    </row>
    <row r="16" customFormat="false" ht="15" hidden="false" customHeight="false" outlineLevel="0" collapsed="false">
      <c r="A16" s="1"/>
      <c r="B16" s="11"/>
      <c r="C16" s="14" t="n">
        <f aca="false">IF(1&gt;$AP$3,"",1)</f>
        <v>1</v>
      </c>
      <c r="D16" s="14" t="n">
        <f aca="false">IF(2&gt;$AP$3,"",2)</f>
        <v>2</v>
      </c>
      <c r="E16" s="14" t="n">
        <f aca="false">IF(3&gt;$AP$3,"",3)</f>
        <v>3</v>
      </c>
      <c r="F16" s="14" t="n">
        <f aca="false">IF(4&gt;$AP$3,"",4)</f>
        <v>4</v>
      </c>
      <c r="G16" s="14" t="n">
        <f aca="false">IF(5&gt;$AP$3,"",5)</f>
        <v>5</v>
      </c>
      <c r="H16" s="14" t="n">
        <f aca="false">IF(6&gt;$AP$3,"",6)</f>
        <v>6</v>
      </c>
      <c r="I16" s="14" t="n">
        <f aca="false">IF(7&gt;$AP$3,"",7)</f>
        <v>7</v>
      </c>
      <c r="J16" s="14" t="n">
        <f aca="false">IF(8&gt;$AP$3,"",8)</f>
        <v>8</v>
      </c>
      <c r="K16" s="14" t="n">
        <f aca="false">IF(9&gt;$AP$3,"",9)</f>
        <v>9</v>
      </c>
      <c r="L16" s="14" t="n">
        <f aca="false">IF(10&gt;$AP$3,"",10)</f>
        <v>10</v>
      </c>
      <c r="M16" s="14" t="n">
        <f aca="false">IF(11&gt;$AP$3,"",11)</f>
        <v>11</v>
      </c>
      <c r="N16" s="14" t="n">
        <f aca="false">IF(12&gt;$AP$3,"",12)</f>
        <v>12</v>
      </c>
      <c r="O16" s="14" t="n">
        <f aca="false">IF(13&gt;$AP$3,"",13)</f>
        <v>13</v>
      </c>
      <c r="P16" s="14" t="n">
        <f aca="false">IF(14&gt;$AP$3,"",14)</f>
        <v>14</v>
      </c>
      <c r="Q16" s="14" t="n">
        <f aca="false">IF(15&gt;$AP$3,"",15)</f>
        <v>15</v>
      </c>
      <c r="R16" s="14" t="n">
        <f aca="false">IF(16&gt;$AP$3,"",16)</f>
        <v>16</v>
      </c>
      <c r="S16" s="14" t="n">
        <f aca="false">IF(17&gt;$AP$3,"",17)</f>
        <v>17</v>
      </c>
      <c r="T16" s="14" t="n">
        <f aca="false">IF(18&gt;$AP$3,"",18)</f>
        <v>18</v>
      </c>
      <c r="U16" s="14" t="n">
        <f aca="false">IF(19&gt;$AP$3,"",19)</f>
        <v>19</v>
      </c>
      <c r="V16" s="14" t="n">
        <f aca="false">IF(20&gt;$AP$3,"",20)</f>
        <v>20</v>
      </c>
      <c r="W16" s="14" t="n">
        <f aca="false">IF(21&gt;$AP$3,"",21)</f>
        <v>21</v>
      </c>
      <c r="X16" s="14" t="n">
        <f aca="false">IF(22&gt;$AP$3,"",22)</f>
        <v>22</v>
      </c>
      <c r="Y16" s="14" t="n">
        <f aca="false">IF(23&gt;$AP$3,"",23)</f>
        <v>23</v>
      </c>
      <c r="Z16" s="14" t="n">
        <f aca="false">IF(24&gt;$AP$3,"",24)</f>
        <v>24</v>
      </c>
      <c r="AA16" s="14" t="n">
        <f aca="false">IF(25&gt;$AP$3,"",25)</f>
        <v>25</v>
      </c>
      <c r="AB16" s="14" t="n">
        <f aca="false">IF(26&gt;$AP$3,"",26)</f>
        <v>26</v>
      </c>
      <c r="AC16" s="14" t="n">
        <f aca="false">IF(27&gt;$AP$3,"",27)</f>
        <v>27</v>
      </c>
      <c r="AD16" s="14" t="n">
        <f aca="false">IF(28&gt;$AP$3,"",28)</f>
        <v>28</v>
      </c>
      <c r="AE16" s="14" t="n">
        <f aca="false">IF(29&gt;$AP$3,"",29)</f>
        <v>29</v>
      </c>
      <c r="AF16" s="14" t="n">
        <f aca="false">IF(30&gt;$AP$3,"",30)</f>
        <v>30</v>
      </c>
      <c r="AG16" s="14" t="n">
        <f aca="false">IF(31&gt;$AP$3,"",31)</f>
        <v>31</v>
      </c>
      <c r="AH16" s="1"/>
      <c r="AI16" s="15" t="s">
        <v>4</v>
      </c>
      <c r="AJ16" s="15" t="s">
        <v>32</v>
      </c>
      <c r="AK16" s="15" t="s">
        <v>15</v>
      </c>
      <c r="AL16" s="15" t="s">
        <v>33</v>
      </c>
      <c r="AM16" s="15" t="s">
        <v>34</v>
      </c>
      <c r="AN16" s="1"/>
      <c r="AO16" s="1"/>
    </row>
    <row r="17" customFormat="false" ht="18" hidden="false" customHeight="true" outlineLevel="0" collapsed="false">
      <c r="A17" s="1"/>
      <c r="B17" s="16" t="s">
        <v>35</v>
      </c>
      <c r="C17" s="17" t="b">
        <f aca="false">FALSE()</f>
        <v>0</v>
      </c>
      <c r="D17" s="17" t="b">
        <f aca="false">FALSE()</f>
        <v>0</v>
      </c>
      <c r="E17" s="17" t="b">
        <f aca="false">FALSE()</f>
        <v>0</v>
      </c>
      <c r="F17" s="17" t="b">
        <f aca="false">FALSE()</f>
        <v>0</v>
      </c>
      <c r="G17" s="17" t="b">
        <f aca="false">FALSE()</f>
        <v>0</v>
      </c>
      <c r="H17" s="17" t="b">
        <f aca="false">FALSE()</f>
        <v>0</v>
      </c>
      <c r="I17" s="17" t="b">
        <f aca="false">FALSE()</f>
        <v>0</v>
      </c>
      <c r="J17" s="17" t="b">
        <f aca="false">FALSE()</f>
        <v>0</v>
      </c>
      <c r="K17" s="17" t="b">
        <f aca="false">FALSE()</f>
        <v>0</v>
      </c>
      <c r="L17" s="17" t="b">
        <f aca="false">FALSE()</f>
        <v>0</v>
      </c>
      <c r="M17" s="17" t="b">
        <f aca="false">FALSE()</f>
        <v>0</v>
      </c>
      <c r="N17" s="17" t="b">
        <f aca="false">FALSE()</f>
        <v>0</v>
      </c>
      <c r="O17" s="17" t="b">
        <f aca="false">FALSE()</f>
        <v>0</v>
      </c>
      <c r="P17" s="17" t="b">
        <f aca="false">FALSE()</f>
        <v>0</v>
      </c>
      <c r="Q17" s="17" t="b">
        <f aca="false">FALSE()</f>
        <v>0</v>
      </c>
      <c r="R17" s="17" t="b">
        <f aca="false">FALSE()</f>
        <v>0</v>
      </c>
      <c r="S17" s="17" t="b">
        <f aca="false">FALSE()</f>
        <v>0</v>
      </c>
      <c r="T17" s="17" t="b">
        <f aca="false">FALSE()</f>
        <v>0</v>
      </c>
      <c r="U17" s="17" t="b">
        <f aca="false">FALSE()</f>
        <v>0</v>
      </c>
      <c r="V17" s="17" t="b">
        <f aca="false">FALSE()</f>
        <v>0</v>
      </c>
      <c r="W17" s="17" t="b">
        <f aca="false">FALSE()</f>
        <v>0</v>
      </c>
      <c r="X17" s="17" t="b">
        <f aca="false">FALSE()</f>
        <v>0</v>
      </c>
      <c r="Y17" s="17" t="b">
        <f aca="false">FALSE()</f>
        <v>0</v>
      </c>
      <c r="Z17" s="17" t="b">
        <f aca="false">FALSE()</f>
        <v>0</v>
      </c>
      <c r="AA17" s="17" t="b">
        <f aca="false">FALSE()</f>
        <v>0</v>
      </c>
      <c r="AB17" s="17" t="b">
        <f aca="false">FALSE()</f>
        <v>0</v>
      </c>
      <c r="AC17" s="17" t="b">
        <f aca="false">FALSE()</f>
        <v>0</v>
      </c>
      <c r="AD17" s="17" t="b">
        <f aca="false">FALSE()</f>
        <v>0</v>
      </c>
      <c r="AE17" s="17" t="b">
        <f aca="false">FALSE()</f>
        <v>0</v>
      </c>
      <c r="AF17" s="17" t="b">
        <f aca="false">FALSE()</f>
        <v>0</v>
      </c>
      <c r="AG17" s="17" t="b">
        <f aca="false">FALSE()</f>
        <v>0</v>
      </c>
      <c r="AH17" s="1"/>
      <c r="AI17" s="18" t="n">
        <f aca="false">IF($B17="","",$AP$3)</f>
        <v>31</v>
      </c>
      <c r="AJ17" s="18" t="n">
        <f aca="false">IF($B17="","",COUNTIF(C17:AG17,TRUE()))</f>
        <v>0</v>
      </c>
      <c r="AK17" s="18" t="n">
        <f aca="false">IF($B17="","",AI17-AJ17)</f>
        <v>31</v>
      </c>
      <c r="AL17" s="19" t="n">
        <f aca="false">IF($B17="","",AJ17/AI17)</f>
        <v>0</v>
      </c>
      <c r="AM17" s="20" t="n">
        <f aca="false">IF($B17="","",AJ17/AI17)</f>
        <v>0</v>
      </c>
      <c r="AN17" s="21" t="n">
        <f aca="false">IF($B17="",-1,AM17-ROW()/100000)</f>
        <v>-0.00017</v>
      </c>
      <c r="AO17" s="1"/>
    </row>
    <row r="18" customFormat="false" ht="18" hidden="false" customHeight="true" outlineLevel="0" collapsed="false">
      <c r="A18" s="1"/>
      <c r="B18" s="16" t="s">
        <v>36</v>
      </c>
      <c r="C18" s="17" t="b">
        <f aca="false">FALSE()</f>
        <v>0</v>
      </c>
      <c r="D18" s="17" t="b">
        <f aca="false">FALSE()</f>
        <v>0</v>
      </c>
      <c r="E18" s="17" t="b">
        <f aca="false">FALSE()</f>
        <v>0</v>
      </c>
      <c r="F18" s="17" t="b">
        <f aca="false">FALSE()</f>
        <v>0</v>
      </c>
      <c r="G18" s="17" t="b">
        <f aca="false">FALSE()</f>
        <v>0</v>
      </c>
      <c r="H18" s="17" t="b">
        <f aca="false">FALSE()</f>
        <v>0</v>
      </c>
      <c r="I18" s="17" t="b">
        <f aca="false">FALSE()</f>
        <v>0</v>
      </c>
      <c r="J18" s="17" t="b">
        <f aca="false">FALSE()</f>
        <v>0</v>
      </c>
      <c r="K18" s="17" t="b">
        <f aca="false">FALSE()</f>
        <v>0</v>
      </c>
      <c r="L18" s="17" t="b">
        <f aca="false">FALSE()</f>
        <v>0</v>
      </c>
      <c r="M18" s="17" t="b">
        <f aca="false">FALSE()</f>
        <v>0</v>
      </c>
      <c r="N18" s="17" t="b">
        <f aca="false">FALSE()</f>
        <v>0</v>
      </c>
      <c r="O18" s="17" t="b">
        <f aca="false">FALSE()</f>
        <v>0</v>
      </c>
      <c r="P18" s="17" t="b">
        <f aca="false">FALSE()</f>
        <v>0</v>
      </c>
      <c r="Q18" s="17" t="b">
        <f aca="false">FALSE()</f>
        <v>0</v>
      </c>
      <c r="R18" s="17" t="b">
        <f aca="false">FALSE()</f>
        <v>0</v>
      </c>
      <c r="S18" s="17" t="b">
        <f aca="false">FALSE()</f>
        <v>0</v>
      </c>
      <c r="T18" s="17" t="b">
        <f aca="false">FALSE()</f>
        <v>0</v>
      </c>
      <c r="U18" s="17" t="b">
        <f aca="false">FALSE()</f>
        <v>0</v>
      </c>
      <c r="V18" s="17" t="b">
        <f aca="false">FALSE()</f>
        <v>0</v>
      </c>
      <c r="W18" s="17" t="b">
        <f aca="false">FALSE()</f>
        <v>0</v>
      </c>
      <c r="X18" s="17" t="b">
        <f aca="false">FALSE()</f>
        <v>0</v>
      </c>
      <c r="Y18" s="17" t="b">
        <f aca="false">FALSE()</f>
        <v>0</v>
      </c>
      <c r="Z18" s="17" t="b">
        <f aca="false">FALSE()</f>
        <v>0</v>
      </c>
      <c r="AA18" s="17" t="b">
        <f aca="false">FALSE()</f>
        <v>0</v>
      </c>
      <c r="AB18" s="17" t="b">
        <f aca="false">FALSE()</f>
        <v>0</v>
      </c>
      <c r="AC18" s="17" t="b">
        <f aca="false">FALSE()</f>
        <v>0</v>
      </c>
      <c r="AD18" s="17" t="b">
        <f aca="false">FALSE()</f>
        <v>0</v>
      </c>
      <c r="AE18" s="17" t="b">
        <f aca="false">FALSE()</f>
        <v>0</v>
      </c>
      <c r="AF18" s="17" t="b">
        <f aca="false">FALSE()</f>
        <v>0</v>
      </c>
      <c r="AG18" s="17" t="b">
        <f aca="false">FALSE()</f>
        <v>0</v>
      </c>
      <c r="AH18" s="1"/>
      <c r="AI18" s="18" t="n">
        <f aca="false">IF($B18="","",$AP$3)</f>
        <v>31</v>
      </c>
      <c r="AJ18" s="18" t="n">
        <f aca="false">IF($B18="","",COUNTIF(C18:AG18,TRUE()))</f>
        <v>0</v>
      </c>
      <c r="AK18" s="18" t="n">
        <f aca="false">IF($B18="","",AI18-AJ18)</f>
        <v>31</v>
      </c>
      <c r="AL18" s="19" t="n">
        <f aca="false">IF($B18="","",AJ18/AI18)</f>
        <v>0</v>
      </c>
      <c r="AM18" s="20" t="n">
        <f aca="false">IF($B18="","",AJ18/AI18)</f>
        <v>0</v>
      </c>
      <c r="AN18" s="21" t="n">
        <f aca="false">IF($B18="",-1,AM18-ROW()/100000)</f>
        <v>-0.00018</v>
      </c>
      <c r="AO18" s="1"/>
    </row>
    <row r="19" customFormat="false" ht="18" hidden="false" customHeight="true" outlineLevel="0" collapsed="false">
      <c r="A19" s="1"/>
      <c r="B19" s="16" t="s">
        <v>37</v>
      </c>
      <c r="C19" s="17" t="b">
        <f aca="false">FALSE()</f>
        <v>0</v>
      </c>
      <c r="D19" s="17" t="b">
        <f aca="false">FALSE()</f>
        <v>0</v>
      </c>
      <c r="E19" s="17" t="b">
        <f aca="false">FALSE()</f>
        <v>0</v>
      </c>
      <c r="F19" s="17" t="b">
        <f aca="false">FALSE()</f>
        <v>0</v>
      </c>
      <c r="G19" s="17" t="b">
        <f aca="false">FALSE()</f>
        <v>0</v>
      </c>
      <c r="H19" s="17" t="b">
        <f aca="false">FALSE()</f>
        <v>0</v>
      </c>
      <c r="I19" s="17" t="b">
        <f aca="false">FALSE()</f>
        <v>0</v>
      </c>
      <c r="J19" s="17" t="b">
        <f aca="false">FALSE()</f>
        <v>0</v>
      </c>
      <c r="K19" s="17" t="b">
        <f aca="false">FALSE()</f>
        <v>0</v>
      </c>
      <c r="L19" s="17" t="b">
        <f aca="false">FALSE()</f>
        <v>0</v>
      </c>
      <c r="M19" s="17" t="b">
        <f aca="false">FALSE()</f>
        <v>0</v>
      </c>
      <c r="N19" s="17" t="b">
        <f aca="false">FALSE()</f>
        <v>0</v>
      </c>
      <c r="O19" s="17" t="b">
        <f aca="false">FALSE()</f>
        <v>0</v>
      </c>
      <c r="P19" s="17" t="b">
        <f aca="false">FALSE()</f>
        <v>0</v>
      </c>
      <c r="Q19" s="17" t="b">
        <f aca="false">FALSE()</f>
        <v>0</v>
      </c>
      <c r="R19" s="17" t="b">
        <f aca="false">FALSE()</f>
        <v>0</v>
      </c>
      <c r="S19" s="17" t="b">
        <f aca="false">FALSE()</f>
        <v>0</v>
      </c>
      <c r="T19" s="17" t="b">
        <f aca="false">FALSE()</f>
        <v>0</v>
      </c>
      <c r="U19" s="17" t="b">
        <f aca="false">FALSE()</f>
        <v>0</v>
      </c>
      <c r="V19" s="17" t="b">
        <f aca="false">FALSE()</f>
        <v>0</v>
      </c>
      <c r="W19" s="17" t="b">
        <f aca="false">FALSE()</f>
        <v>0</v>
      </c>
      <c r="X19" s="17" t="b">
        <f aca="false">FALSE()</f>
        <v>0</v>
      </c>
      <c r="Y19" s="17" t="b">
        <f aca="false">FALSE()</f>
        <v>0</v>
      </c>
      <c r="Z19" s="17" t="b">
        <f aca="false">FALSE()</f>
        <v>0</v>
      </c>
      <c r="AA19" s="17" t="b">
        <f aca="false">FALSE()</f>
        <v>0</v>
      </c>
      <c r="AB19" s="17" t="b">
        <f aca="false">FALSE()</f>
        <v>0</v>
      </c>
      <c r="AC19" s="17" t="b">
        <f aca="false">FALSE()</f>
        <v>0</v>
      </c>
      <c r="AD19" s="17" t="b">
        <f aca="false">FALSE()</f>
        <v>0</v>
      </c>
      <c r="AE19" s="17" t="b">
        <f aca="false">FALSE()</f>
        <v>0</v>
      </c>
      <c r="AF19" s="17" t="b">
        <f aca="false">FALSE()</f>
        <v>0</v>
      </c>
      <c r="AG19" s="17" t="b">
        <f aca="false">FALSE()</f>
        <v>0</v>
      </c>
      <c r="AH19" s="1"/>
      <c r="AI19" s="18" t="n">
        <f aca="false">IF($B19="","",$AP$3)</f>
        <v>31</v>
      </c>
      <c r="AJ19" s="18" t="n">
        <f aca="false">IF($B19="","",COUNTIF(C19:AG19,TRUE()))</f>
        <v>0</v>
      </c>
      <c r="AK19" s="18" t="n">
        <f aca="false">IF($B19="","",AI19-AJ19)</f>
        <v>31</v>
      </c>
      <c r="AL19" s="19" t="n">
        <f aca="false">IF($B19="","",AJ19/AI19)</f>
        <v>0</v>
      </c>
      <c r="AM19" s="20" t="n">
        <f aca="false">IF($B19="","",AJ19/AI19)</f>
        <v>0</v>
      </c>
      <c r="AN19" s="21" t="n">
        <f aca="false">IF($B19="",-1,AM19-ROW()/100000)</f>
        <v>-0.00019</v>
      </c>
      <c r="AO19" s="1"/>
    </row>
    <row r="20" customFormat="false" ht="18" hidden="false" customHeight="true" outlineLevel="0" collapsed="false">
      <c r="A20" s="1"/>
      <c r="B20" s="16" t="s">
        <v>38</v>
      </c>
      <c r="C20" s="17" t="b">
        <f aca="false">FALSE()</f>
        <v>0</v>
      </c>
      <c r="D20" s="17" t="b">
        <f aca="false">FALSE()</f>
        <v>0</v>
      </c>
      <c r="E20" s="17" t="b">
        <f aca="false">FALSE()</f>
        <v>0</v>
      </c>
      <c r="F20" s="17" t="b">
        <f aca="false">FALSE()</f>
        <v>0</v>
      </c>
      <c r="G20" s="17" t="b">
        <f aca="false">FALSE()</f>
        <v>0</v>
      </c>
      <c r="H20" s="17" t="b">
        <f aca="false">FALSE()</f>
        <v>0</v>
      </c>
      <c r="I20" s="17" t="b">
        <f aca="false">FALSE()</f>
        <v>0</v>
      </c>
      <c r="J20" s="17" t="b">
        <f aca="false">FALSE()</f>
        <v>0</v>
      </c>
      <c r="K20" s="17" t="b">
        <f aca="false">FALSE()</f>
        <v>0</v>
      </c>
      <c r="L20" s="17" t="b">
        <f aca="false">FALSE()</f>
        <v>0</v>
      </c>
      <c r="M20" s="17" t="b">
        <f aca="false">FALSE()</f>
        <v>0</v>
      </c>
      <c r="N20" s="17" t="b">
        <f aca="false">FALSE()</f>
        <v>0</v>
      </c>
      <c r="O20" s="17" t="b">
        <f aca="false">FALSE()</f>
        <v>0</v>
      </c>
      <c r="P20" s="17" t="b">
        <f aca="false">FALSE()</f>
        <v>0</v>
      </c>
      <c r="Q20" s="17" t="b">
        <f aca="false">FALSE()</f>
        <v>0</v>
      </c>
      <c r="R20" s="17" t="b">
        <f aca="false">FALSE()</f>
        <v>0</v>
      </c>
      <c r="S20" s="17" t="b">
        <f aca="false">FALSE()</f>
        <v>0</v>
      </c>
      <c r="T20" s="17" t="b">
        <f aca="false">FALSE()</f>
        <v>0</v>
      </c>
      <c r="U20" s="17" t="b">
        <f aca="false">FALSE()</f>
        <v>0</v>
      </c>
      <c r="V20" s="17" t="b">
        <f aca="false">FALSE()</f>
        <v>0</v>
      </c>
      <c r="W20" s="17" t="b">
        <f aca="false">FALSE()</f>
        <v>0</v>
      </c>
      <c r="X20" s="17" t="b">
        <f aca="false">FALSE()</f>
        <v>0</v>
      </c>
      <c r="Y20" s="17" t="b">
        <f aca="false">FALSE()</f>
        <v>0</v>
      </c>
      <c r="Z20" s="17" t="b">
        <f aca="false">FALSE()</f>
        <v>0</v>
      </c>
      <c r="AA20" s="17" t="b">
        <f aca="false">FALSE()</f>
        <v>0</v>
      </c>
      <c r="AB20" s="17" t="b">
        <f aca="false">FALSE()</f>
        <v>0</v>
      </c>
      <c r="AC20" s="17" t="b">
        <f aca="false">FALSE()</f>
        <v>0</v>
      </c>
      <c r="AD20" s="17" t="b">
        <f aca="false">FALSE()</f>
        <v>0</v>
      </c>
      <c r="AE20" s="17" t="b">
        <f aca="false">FALSE()</f>
        <v>0</v>
      </c>
      <c r="AF20" s="17" t="b">
        <f aca="false">FALSE()</f>
        <v>0</v>
      </c>
      <c r="AG20" s="17" t="b">
        <f aca="false">FALSE()</f>
        <v>0</v>
      </c>
      <c r="AH20" s="1"/>
      <c r="AI20" s="18" t="n">
        <f aca="false">IF($B20="","",$AP$3)</f>
        <v>31</v>
      </c>
      <c r="AJ20" s="18" t="n">
        <f aca="false">IF($B20="","",COUNTIF(C20:AG20,TRUE()))</f>
        <v>0</v>
      </c>
      <c r="AK20" s="18" t="n">
        <f aca="false">IF($B20="","",AI20-AJ20)</f>
        <v>31</v>
      </c>
      <c r="AL20" s="19" t="n">
        <f aca="false">IF($B20="","",AJ20/AI20)</f>
        <v>0</v>
      </c>
      <c r="AM20" s="20" t="n">
        <f aca="false">IF($B20="","",AJ20/AI20)</f>
        <v>0</v>
      </c>
      <c r="AN20" s="21" t="n">
        <f aca="false">IF($B20="",-1,AM20-ROW()/100000)</f>
        <v>-0.0002</v>
      </c>
      <c r="AO20" s="1"/>
    </row>
    <row r="21" customFormat="false" ht="18" hidden="false" customHeight="true" outlineLevel="0" collapsed="false">
      <c r="A21" s="1"/>
      <c r="B21" s="16" t="s">
        <v>39</v>
      </c>
      <c r="C21" s="17" t="b">
        <f aca="false">FALSE()</f>
        <v>0</v>
      </c>
      <c r="D21" s="17" t="b">
        <f aca="false">FALSE()</f>
        <v>0</v>
      </c>
      <c r="E21" s="17" t="b">
        <f aca="false">FALSE()</f>
        <v>0</v>
      </c>
      <c r="F21" s="17" t="b">
        <f aca="false">FALSE()</f>
        <v>0</v>
      </c>
      <c r="G21" s="17" t="b">
        <f aca="false">FALSE()</f>
        <v>0</v>
      </c>
      <c r="H21" s="17" t="b">
        <f aca="false">FALSE()</f>
        <v>0</v>
      </c>
      <c r="I21" s="17" t="b">
        <f aca="false">FALSE()</f>
        <v>0</v>
      </c>
      <c r="J21" s="17" t="b">
        <f aca="false">FALSE()</f>
        <v>0</v>
      </c>
      <c r="K21" s="17" t="b">
        <f aca="false">FALSE()</f>
        <v>0</v>
      </c>
      <c r="L21" s="17" t="b">
        <f aca="false">FALSE()</f>
        <v>0</v>
      </c>
      <c r="M21" s="17" t="b">
        <f aca="false">FALSE()</f>
        <v>0</v>
      </c>
      <c r="N21" s="17" t="b">
        <f aca="false">FALSE()</f>
        <v>0</v>
      </c>
      <c r="O21" s="17" t="b">
        <f aca="false">FALSE()</f>
        <v>0</v>
      </c>
      <c r="P21" s="17" t="b">
        <f aca="false">FALSE()</f>
        <v>0</v>
      </c>
      <c r="Q21" s="17" t="b">
        <f aca="false">FALSE()</f>
        <v>0</v>
      </c>
      <c r="R21" s="17" t="b">
        <f aca="false">FALSE()</f>
        <v>0</v>
      </c>
      <c r="S21" s="17" t="b">
        <f aca="false">FALSE()</f>
        <v>0</v>
      </c>
      <c r="T21" s="17" t="b">
        <f aca="false">FALSE()</f>
        <v>0</v>
      </c>
      <c r="U21" s="17" t="b">
        <f aca="false">FALSE()</f>
        <v>0</v>
      </c>
      <c r="V21" s="17" t="b">
        <f aca="false">FALSE()</f>
        <v>0</v>
      </c>
      <c r="W21" s="17" t="b">
        <f aca="false">FALSE()</f>
        <v>0</v>
      </c>
      <c r="X21" s="17" t="b">
        <f aca="false">FALSE()</f>
        <v>0</v>
      </c>
      <c r="Y21" s="17" t="b">
        <f aca="false">FALSE()</f>
        <v>0</v>
      </c>
      <c r="Z21" s="17" t="b">
        <f aca="false">FALSE()</f>
        <v>0</v>
      </c>
      <c r="AA21" s="17" t="b">
        <f aca="false">FALSE()</f>
        <v>0</v>
      </c>
      <c r="AB21" s="17" t="b">
        <f aca="false">FALSE()</f>
        <v>0</v>
      </c>
      <c r="AC21" s="17" t="b">
        <f aca="false">FALSE()</f>
        <v>0</v>
      </c>
      <c r="AD21" s="17" t="b">
        <f aca="false">FALSE()</f>
        <v>0</v>
      </c>
      <c r="AE21" s="17" t="b">
        <f aca="false">FALSE()</f>
        <v>0</v>
      </c>
      <c r="AF21" s="17" t="b">
        <f aca="false">FALSE()</f>
        <v>0</v>
      </c>
      <c r="AG21" s="17" t="b">
        <f aca="false">FALSE()</f>
        <v>0</v>
      </c>
      <c r="AH21" s="1"/>
      <c r="AI21" s="18" t="n">
        <f aca="false">IF($B21="","",$AP$3)</f>
        <v>31</v>
      </c>
      <c r="AJ21" s="18" t="n">
        <f aca="false">IF($B21="","",COUNTIF(C21:AG21,TRUE()))</f>
        <v>0</v>
      </c>
      <c r="AK21" s="18" t="n">
        <f aca="false">IF($B21="","",AI21-AJ21)</f>
        <v>31</v>
      </c>
      <c r="AL21" s="19" t="n">
        <f aca="false">IF($B21="","",AJ21/AI21)</f>
        <v>0</v>
      </c>
      <c r="AM21" s="20" t="n">
        <f aca="false">IF($B21="","",AJ21/AI21)</f>
        <v>0</v>
      </c>
      <c r="AN21" s="21" t="n">
        <f aca="false">IF($B21="",-1,AM21-ROW()/100000)</f>
        <v>-0.00021</v>
      </c>
      <c r="AO21" s="1"/>
    </row>
    <row r="22" customFormat="false" ht="18" hidden="false" customHeight="true" outlineLevel="0" collapsed="false">
      <c r="A22" s="1"/>
      <c r="B22" s="16" t="s">
        <v>40</v>
      </c>
      <c r="C22" s="17" t="b">
        <f aca="false">FALSE()</f>
        <v>0</v>
      </c>
      <c r="D22" s="17" t="b">
        <f aca="false">FALSE()</f>
        <v>0</v>
      </c>
      <c r="E22" s="17" t="b">
        <f aca="false">FALSE()</f>
        <v>0</v>
      </c>
      <c r="F22" s="17" t="b">
        <f aca="false">FALSE()</f>
        <v>0</v>
      </c>
      <c r="G22" s="17" t="b">
        <f aca="false">FALSE()</f>
        <v>0</v>
      </c>
      <c r="H22" s="17" t="b">
        <f aca="false">FALSE()</f>
        <v>0</v>
      </c>
      <c r="I22" s="17" t="b">
        <f aca="false">FALSE()</f>
        <v>0</v>
      </c>
      <c r="J22" s="17" t="b">
        <f aca="false">FALSE()</f>
        <v>0</v>
      </c>
      <c r="K22" s="17" t="b">
        <f aca="false">FALSE()</f>
        <v>0</v>
      </c>
      <c r="L22" s="17" t="b">
        <f aca="false">FALSE()</f>
        <v>0</v>
      </c>
      <c r="M22" s="17" t="b">
        <f aca="false">FALSE()</f>
        <v>0</v>
      </c>
      <c r="N22" s="17" t="b">
        <f aca="false">FALSE()</f>
        <v>0</v>
      </c>
      <c r="O22" s="17" t="b">
        <f aca="false">FALSE()</f>
        <v>0</v>
      </c>
      <c r="P22" s="17" t="b">
        <f aca="false">FALSE()</f>
        <v>0</v>
      </c>
      <c r="Q22" s="17" t="b">
        <f aca="false">FALSE()</f>
        <v>0</v>
      </c>
      <c r="R22" s="17" t="b">
        <f aca="false">FALSE()</f>
        <v>0</v>
      </c>
      <c r="S22" s="17" t="b">
        <f aca="false">FALSE()</f>
        <v>0</v>
      </c>
      <c r="T22" s="17" t="b">
        <f aca="false">FALSE()</f>
        <v>0</v>
      </c>
      <c r="U22" s="17" t="b">
        <f aca="false">FALSE()</f>
        <v>0</v>
      </c>
      <c r="V22" s="17" t="b">
        <f aca="false">FALSE()</f>
        <v>0</v>
      </c>
      <c r="W22" s="17" t="b">
        <f aca="false">FALSE()</f>
        <v>0</v>
      </c>
      <c r="X22" s="17" t="b">
        <f aca="false">FALSE()</f>
        <v>0</v>
      </c>
      <c r="Y22" s="17" t="b">
        <f aca="false">FALSE()</f>
        <v>0</v>
      </c>
      <c r="Z22" s="17" t="b">
        <f aca="false">FALSE()</f>
        <v>0</v>
      </c>
      <c r="AA22" s="17" t="b">
        <f aca="false">FALSE()</f>
        <v>0</v>
      </c>
      <c r="AB22" s="17" t="b">
        <f aca="false">FALSE()</f>
        <v>0</v>
      </c>
      <c r="AC22" s="17" t="b">
        <f aca="false">FALSE()</f>
        <v>0</v>
      </c>
      <c r="AD22" s="17" t="b">
        <f aca="false">FALSE()</f>
        <v>0</v>
      </c>
      <c r="AE22" s="17" t="b">
        <f aca="false">FALSE()</f>
        <v>0</v>
      </c>
      <c r="AF22" s="17" t="b">
        <f aca="false">FALSE()</f>
        <v>0</v>
      </c>
      <c r="AG22" s="17" t="b">
        <f aca="false">FALSE()</f>
        <v>0</v>
      </c>
      <c r="AH22" s="1"/>
      <c r="AI22" s="18" t="n">
        <f aca="false">IF($B22="","",$AP$3)</f>
        <v>31</v>
      </c>
      <c r="AJ22" s="18" t="n">
        <f aca="false">IF($B22="","",COUNTIF(C22:AG22,TRUE()))</f>
        <v>0</v>
      </c>
      <c r="AK22" s="18" t="n">
        <f aca="false">IF($B22="","",AI22-AJ22)</f>
        <v>31</v>
      </c>
      <c r="AL22" s="19" t="n">
        <f aca="false">IF($B22="","",AJ22/AI22)</f>
        <v>0</v>
      </c>
      <c r="AM22" s="20" t="n">
        <f aca="false">IF($B22="","",AJ22/AI22)</f>
        <v>0</v>
      </c>
      <c r="AN22" s="21" t="n">
        <f aca="false">IF($B22="",-1,AM22-ROW()/100000)</f>
        <v>-0.00022</v>
      </c>
      <c r="AO22" s="1"/>
    </row>
    <row r="23" customFormat="false" ht="18" hidden="false" customHeight="true" outlineLevel="0" collapsed="false">
      <c r="A23" s="1"/>
      <c r="B23" s="16" t="s">
        <v>41</v>
      </c>
      <c r="C23" s="17" t="b">
        <f aca="false">FALSE()</f>
        <v>0</v>
      </c>
      <c r="D23" s="17" t="b">
        <f aca="false">FALSE()</f>
        <v>0</v>
      </c>
      <c r="E23" s="17" t="b">
        <f aca="false">FALSE()</f>
        <v>0</v>
      </c>
      <c r="F23" s="17" t="b">
        <f aca="false">FALSE()</f>
        <v>0</v>
      </c>
      <c r="G23" s="17" t="b">
        <f aca="false">FALSE()</f>
        <v>0</v>
      </c>
      <c r="H23" s="17" t="b">
        <f aca="false">FALSE()</f>
        <v>0</v>
      </c>
      <c r="I23" s="17" t="b">
        <f aca="false">FALSE()</f>
        <v>0</v>
      </c>
      <c r="J23" s="17" t="b">
        <f aca="false">FALSE()</f>
        <v>0</v>
      </c>
      <c r="K23" s="17" t="b">
        <f aca="false">FALSE()</f>
        <v>0</v>
      </c>
      <c r="L23" s="17" t="b">
        <f aca="false">FALSE()</f>
        <v>0</v>
      </c>
      <c r="M23" s="17" t="b">
        <f aca="false">FALSE()</f>
        <v>0</v>
      </c>
      <c r="N23" s="17" t="b">
        <f aca="false">FALSE()</f>
        <v>0</v>
      </c>
      <c r="O23" s="17" t="b">
        <f aca="false">FALSE()</f>
        <v>0</v>
      </c>
      <c r="P23" s="17" t="b">
        <f aca="false">FALSE()</f>
        <v>0</v>
      </c>
      <c r="Q23" s="17" t="b">
        <f aca="false">FALSE()</f>
        <v>0</v>
      </c>
      <c r="R23" s="17" t="b">
        <f aca="false">FALSE()</f>
        <v>0</v>
      </c>
      <c r="S23" s="17" t="b">
        <f aca="false">FALSE()</f>
        <v>0</v>
      </c>
      <c r="T23" s="17" t="b">
        <f aca="false">FALSE()</f>
        <v>0</v>
      </c>
      <c r="U23" s="17" t="b">
        <f aca="false">FALSE()</f>
        <v>0</v>
      </c>
      <c r="V23" s="17" t="b">
        <f aca="false">FALSE()</f>
        <v>0</v>
      </c>
      <c r="W23" s="17" t="b">
        <f aca="false">FALSE()</f>
        <v>0</v>
      </c>
      <c r="X23" s="17" t="b">
        <f aca="false">FALSE()</f>
        <v>0</v>
      </c>
      <c r="Y23" s="17" t="b">
        <f aca="false">FALSE()</f>
        <v>0</v>
      </c>
      <c r="Z23" s="17" t="b">
        <f aca="false">FALSE()</f>
        <v>0</v>
      </c>
      <c r="AA23" s="17" t="b">
        <f aca="false">FALSE()</f>
        <v>0</v>
      </c>
      <c r="AB23" s="17" t="b">
        <f aca="false">FALSE()</f>
        <v>0</v>
      </c>
      <c r="AC23" s="17" t="b">
        <f aca="false">FALSE()</f>
        <v>0</v>
      </c>
      <c r="AD23" s="17" t="b">
        <f aca="false">FALSE()</f>
        <v>0</v>
      </c>
      <c r="AE23" s="17" t="b">
        <f aca="false">FALSE()</f>
        <v>0</v>
      </c>
      <c r="AF23" s="17" t="b">
        <f aca="false">FALSE()</f>
        <v>0</v>
      </c>
      <c r="AG23" s="17" t="b">
        <f aca="false">FALSE()</f>
        <v>0</v>
      </c>
      <c r="AH23" s="1"/>
      <c r="AI23" s="18" t="n">
        <f aca="false">IF($B23="","",$AP$3)</f>
        <v>31</v>
      </c>
      <c r="AJ23" s="18" t="n">
        <f aca="false">IF($B23="","",COUNTIF(C23:AG23,TRUE()))</f>
        <v>0</v>
      </c>
      <c r="AK23" s="18" t="n">
        <f aca="false">IF($B23="","",AI23-AJ23)</f>
        <v>31</v>
      </c>
      <c r="AL23" s="19" t="n">
        <f aca="false">IF($B23="","",AJ23/AI23)</f>
        <v>0</v>
      </c>
      <c r="AM23" s="20" t="n">
        <f aca="false">IF($B23="","",AJ23/AI23)</f>
        <v>0</v>
      </c>
      <c r="AN23" s="21" t="n">
        <f aca="false">IF($B23="",-1,AM23-ROW()/100000)</f>
        <v>-0.00023</v>
      </c>
      <c r="AO23" s="1"/>
    </row>
    <row r="24" customFormat="false" ht="18" hidden="false" customHeight="true" outlineLevel="0" collapsed="false">
      <c r="A24" s="1"/>
      <c r="B24" s="16" t="s">
        <v>42</v>
      </c>
      <c r="C24" s="17" t="b">
        <f aca="false">FALSE()</f>
        <v>0</v>
      </c>
      <c r="D24" s="17" t="b">
        <f aca="false">FALSE()</f>
        <v>0</v>
      </c>
      <c r="E24" s="17" t="b">
        <f aca="false">FALSE()</f>
        <v>0</v>
      </c>
      <c r="F24" s="17" t="b">
        <f aca="false">FALSE()</f>
        <v>0</v>
      </c>
      <c r="G24" s="17" t="b">
        <f aca="false">FALSE()</f>
        <v>0</v>
      </c>
      <c r="H24" s="17" t="b">
        <f aca="false">FALSE()</f>
        <v>0</v>
      </c>
      <c r="I24" s="17" t="b">
        <f aca="false">FALSE()</f>
        <v>0</v>
      </c>
      <c r="J24" s="17" t="b">
        <f aca="false">FALSE()</f>
        <v>0</v>
      </c>
      <c r="K24" s="17" t="b">
        <f aca="false">FALSE()</f>
        <v>0</v>
      </c>
      <c r="L24" s="17" t="b">
        <f aca="false">FALSE()</f>
        <v>0</v>
      </c>
      <c r="M24" s="17" t="b">
        <f aca="false">FALSE()</f>
        <v>0</v>
      </c>
      <c r="N24" s="17" t="b">
        <f aca="false">FALSE()</f>
        <v>0</v>
      </c>
      <c r="O24" s="17" t="b">
        <f aca="false">FALSE()</f>
        <v>0</v>
      </c>
      <c r="P24" s="17" t="b">
        <f aca="false">FALSE()</f>
        <v>0</v>
      </c>
      <c r="Q24" s="17" t="b">
        <f aca="false">FALSE()</f>
        <v>0</v>
      </c>
      <c r="R24" s="17" t="b">
        <f aca="false">FALSE()</f>
        <v>0</v>
      </c>
      <c r="S24" s="17" t="b">
        <f aca="false">FALSE()</f>
        <v>0</v>
      </c>
      <c r="T24" s="17" t="b">
        <f aca="false">FALSE()</f>
        <v>0</v>
      </c>
      <c r="U24" s="17" t="b">
        <f aca="false">FALSE()</f>
        <v>0</v>
      </c>
      <c r="V24" s="17" t="b">
        <f aca="false">FALSE()</f>
        <v>0</v>
      </c>
      <c r="W24" s="17" t="b">
        <f aca="false">FALSE()</f>
        <v>0</v>
      </c>
      <c r="X24" s="17" t="b">
        <f aca="false">FALSE()</f>
        <v>0</v>
      </c>
      <c r="Y24" s="17" t="b">
        <f aca="false">FALSE()</f>
        <v>0</v>
      </c>
      <c r="Z24" s="17" t="b">
        <f aca="false">FALSE()</f>
        <v>0</v>
      </c>
      <c r="AA24" s="17" t="b">
        <f aca="false">FALSE()</f>
        <v>0</v>
      </c>
      <c r="AB24" s="17" t="b">
        <f aca="false">FALSE()</f>
        <v>0</v>
      </c>
      <c r="AC24" s="17" t="b">
        <f aca="false">FALSE()</f>
        <v>0</v>
      </c>
      <c r="AD24" s="17" t="b">
        <f aca="false">FALSE()</f>
        <v>0</v>
      </c>
      <c r="AE24" s="17" t="b">
        <f aca="false">FALSE()</f>
        <v>0</v>
      </c>
      <c r="AF24" s="17" t="b">
        <f aca="false">FALSE()</f>
        <v>0</v>
      </c>
      <c r="AG24" s="17" t="b">
        <f aca="false">FALSE()</f>
        <v>0</v>
      </c>
      <c r="AH24" s="1"/>
      <c r="AI24" s="18" t="n">
        <f aca="false">IF($B24="","",$AP$3)</f>
        <v>31</v>
      </c>
      <c r="AJ24" s="18" t="n">
        <f aca="false">IF($B24="","",COUNTIF(C24:AG24,TRUE()))</f>
        <v>0</v>
      </c>
      <c r="AK24" s="18" t="n">
        <f aca="false">IF($B24="","",AI24-AJ24)</f>
        <v>31</v>
      </c>
      <c r="AL24" s="19" t="n">
        <f aca="false">IF($B24="","",AJ24/AI24)</f>
        <v>0</v>
      </c>
      <c r="AM24" s="20" t="n">
        <f aca="false">IF($B24="","",AJ24/AI24)</f>
        <v>0</v>
      </c>
      <c r="AN24" s="21" t="n">
        <f aca="false">IF($B24="",-1,AM24-ROW()/100000)</f>
        <v>-0.00024</v>
      </c>
      <c r="AO24" s="1"/>
    </row>
    <row r="25" customFormat="false" ht="18" hidden="false" customHeight="true" outlineLevel="0" collapsed="false">
      <c r="A25" s="1"/>
      <c r="B25" s="16" t="s">
        <v>43</v>
      </c>
      <c r="C25" s="17" t="b">
        <f aca="false">FALSE()</f>
        <v>0</v>
      </c>
      <c r="D25" s="17" t="b">
        <f aca="false">FALSE()</f>
        <v>0</v>
      </c>
      <c r="E25" s="17" t="b">
        <f aca="false">FALSE()</f>
        <v>0</v>
      </c>
      <c r="F25" s="17" t="b">
        <f aca="false">FALSE()</f>
        <v>0</v>
      </c>
      <c r="G25" s="17" t="b">
        <f aca="false">FALSE()</f>
        <v>0</v>
      </c>
      <c r="H25" s="17" t="b">
        <f aca="false">FALSE()</f>
        <v>0</v>
      </c>
      <c r="I25" s="17" t="b">
        <f aca="false">FALSE()</f>
        <v>0</v>
      </c>
      <c r="J25" s="17" t="b">
        <f aca="false">FALSE()</f>
        <v>0</v>
      </c>
      <c r="K25" s="17" t="b">
        <f aca="false">FALSE()</f>
        <v>0</v>
      </c>
      <c r="L25" s="17" t="b">
        <f aca="false">FALSE()</f>
        <v>0</v>
      </c>
      <c r="M25" s="17" t="b">
        <f aca="false">FALSE()</f>
        <v>0</v>
      </c>
      <c r="N25" s="17" t="b">
        <f aca="false">FALSE()</f>
        <v>0</v>
      </c>
      <c r="O25" s="17" t="b">
        <f aca="false">FALSE()</f>
        <v>0</v>
      </c>
      <c r="P25" s="17" t="b">
        <f aca="false">FALSE()</f>
        <v>0</v>
      </c>
      <c r="Q25" s="17" t="b">
        <f aca="false">FALSE()</f>
        <v>0</v>
      </c>
      <c r="R25" s="17" t="b">
        <f aca="false">FALSE()</f>
        <v>0</v>
      </c>
      <c r="S25" s="17" t="b">
        <f aca="false">FALSE()</f>
        <v>0</v>
      </c>
      <c r="T25" s="17" t="b">
        <f aca="false">FALSE()</f>
        <v>0</v>
      </c>
      <c r="U25" s="17" t="b">
        <f aca="false">FALSE()</f>
        <v>0</v>
      </c>
      <c r="V25" s="17" t="b">
        <f aca="false">FALSE()</f>
        <v>0</v>
      </c>
      <c r="W25" s="17" t="b">
        <f aca="false">FALSE()</f>
        <v>0</v>
      </c>
      <c r="X25" s="17" t="b">
        <f aca="false">FALSE()</f>
        <v>0</v>
      </c>
      <c r="Y25" s="17" t="b">
        <f aca="false">FALSE()</f>
        <v>0</v>
      </c>
      <c r="Z25" s="17" t="b">
        <f aca="false">FALSE()</f>
        <v>0</v>
      </c>
      <c r="AA25" s="17" t="b">
        <f aca="false">FALSE()</f>
        <v>0</v>
      </c>
      <c r="AB25" s="17" t="b">
        <f aca="false">FALSE()</f>
        <v>0</v>
      </c>
      <c r="AC25" s="17" t="b">
        <f aca="false">FALSE()</f>
        <v>0</v>
      </c>
      <c r="AD25" s="17" t="b">
        <f aca="false">FALSE()</f>
        <v>0</v>
      </c>
      <c r="AE25" s="17" t="b">
        <f aca="false">FALSE()</f>
        <v>0</v>
      </c>
      <c r="AF25" s="17" t="b">
        <f aca="false">FALSE()</f>
        <v>0</v>
      </c>
      <c r="AG25" s="17" t="b">
        <f aca="false">FALSE()</f>
        <v>0</v>
      </c>
      <c r="AH25" s="1"/>
      <c r="AI25" s="18" t="n">
        <f aca="false">IF($B25="","",$AP$3)</f>
        <v>31</v>
      </c>
      <c r="AJ25" s="18" t="n">
        <f aca="false">IF($B25="","",COUNTIF(C25:AG25,TRUE()))</f>
        <v>0</v>
      </c>
      <c r="AK25" s="18" t="n">
        <f aca="false">IF($B25="","",AI25-AJ25)</f>
        <v>31</v>
      </c>
      <c r="AL25" s="19" t="n">
        <f aca="false">IF($B25="","",AJ25/AI25)</f>
        <v>0</v>
      </c>
      <c r="AM25" s="20" t="n">
        <f aca="false">IF($B25="","",AJ25/AI25)</f>
        <v>0</v>
      </c>
      <c r="AN25" s="21" t="n">
        <f aca="false">IF($B25="",-1,AM25-ROW()/100000)</f>
        <v>-0.00025</v>
      </c>
      <c r="AO25" s="1"/>
    </row>
    <row r="26" customFormat="false" ht="18" hidden="false" customHeight="true" outlineLevel="0" collapsed="false">
      <c r="A26" s="1"/>
      <c r="B26" s="16" t="s">
        <v>44</v>
      </c>
      <c r="C26" s="17" t="b">
        <f aca="false">FALSE()</f>
        <v>0</v>
      </c>
      <c r="D26" s="17" t="b">
        <f aca="false">FALSE()</f>
        <v>0</v>
      </c>
      <c r="E26" s="17" t="b">
        <f aca="false">FALSE()</f>
        <v>0</v>
      </c>
      <c r="F26" s="17" t="b">
        <f aca="false">FALSE()</f>
        <v>0</v>
      </c>
      <c r="G26" s="17" t="b">
        <f aca="false">FALSE()</f>
        <v>0</v>
      </c>
      <c r="H26" s="17" t="b">
        <f aca="false">FALSE()</f>
        <v>0</v>
      </c>
      <c r="I26" s="17" t="b">
        <f aca="false">FALSE()</f>
        <v>0</v>
      </c>
      <c r="J26" s="17" t="b">
        <f aca="false">FALSE()</f>
        <v>0</v>
      </c>
      <c r="K26" s="17" t="b">
        <f aca="false">FALSE()</f>
        <v>0</v>
      </c>
      <c r="L26" s="17" t="b">
        <f aca="false">FALSE()</f>
        <v>0</v>
      </c>
      <c r="M26" s="17" t="b">
        <f aca="false">FALSE()</f>
        <v>0</v>
      </c>
      <c r="N26" s="17" t="b">
        <f aca="false">FALSE()</f>
        <v>0</v>
      </c>
      <c r="O26" s="17" t="b">
        <f aca="false">FALSE()</f>
        <v>0</v>
      </c>
      <c r="P26" s="17" t="b">
        <f aca="false">FALSE()</f>
        <v>0</v>
      </c>
      <c r="Q26" s="17" t="b">
        <f aca="false">FALSE()</f>
        <v>0</v>
      </c>
      <c r="R26" s="17" t="b">
        <f aca="false">FALSE()</f>
        <v>0</v>
      </c>
      <c r="S26" s="17" t="b">
        <f aca="false">FALSE()</f>
        <v>0</v>
      </c>
      <c r="T26" s="17" t="b">
        <f aca="false">FALSE()</f>
        <v>0</v>
      </c>
      <c r="U26" s="17" t="b">
        <f aca="false">FALSE()</f>
        <v>0</v>
      </c>
      <c r="V26" s="17" t="b">
        <f aca="false">FALSE()</f>
        <v>0</v>
      </c>
      <c r="W26" s="17" t="b">
        <f aca="false">FALSE()</f>
        <v>0</v>
      </c>
      <c r="X26" s="17" t="b">
        <f aca="false">FALSE()</f>
        <v>0</v>
      </c>
      <c r="Y26" s="17" t="b">
        <f aca="false">FALSE()</f>
        <v>0</v>
      </c>
      <c r="Z26" s="17" t="b">
        <f aca="false">FALSE()</f>
        <v>0</v>
      </c>
      <c r="AA26" s="17" t="b">
        <f aca="false">FALSE()</f>
        <v>0</v>
      </c>
      <c r="AB26" s="17" t="b">
        <f aca="false">FALSE()</f>
        <v>0</v>
      </c>
      <c r="AC26" s="17" t="b">
        <f aca="false">FALSE()</f>
        <v>0</v>
      </c>
      <c r="AD26" s="17" t="b">
        <f aca="false">FALSE()</f>
        <v>0</v>
      </c>
      <c r="AE26" s="17" t="b">
        <f aca="false">FALSE()</f>
        <v>0</v>
      </c>
      <c r="AF26" s="17" t="b">
        <f aca="false">FALSE()</f>
        <v>0</v>
      </c>
      <c r="AG26" s="17" t="b">
        <f aca="false">FALSE()</f>
        <v>0</v>
      </c>
      <c r="AH26" s="1"/>
      <c r="AI26" s="18" t="n">
        <f aca="false">IF($B26="","",$AP$3)</f>
        <v>31</v>
      </c>
      <c r="AJ26" s="18" t="n">
        <f aca="false">IF($B26="","",COUNTIF(C26:AG26,TRUE()))</f>
        <v>0</v>
      </c>
      <c r="AK26" s="18" t="n">
        <f aca="false">IF($B26="","",AI26-AJ26)</f>
        <v>31</v>
      </c>
      <c r="AL26" s="19" t="n">
        <f aca="false">IF($B26="","",AJ26/AI26)</f>
        <v>0</v>
      </c>
      <c r="AM26" s="20" t="n">
        <f aca="false">IF($B26="","",AJ26/AI26)</f>
        <v>0</v>
      </c>
      <c r="AN26" s="21" t="n">
        <f aca="false">IF($B26="",-1,AM26-ROW()/100000)</f>
        <v>-0.00026</v>
      </c>
      <c r="AO26" s="1"/>
    </row>
    <row r="27" customFormat="false" ht="18" hidden="false" customHeight="true" outlineLevel="0" collapsed="false">
      <c r="A27" s="1"/>
      <c r="B27" s="16"/>
      <c r="C27" s="17" t="b">
        <f aca="false">FALSE()</f>
        <v>0</v>
      </c>
      <c r="D27" s="17" t="b">
        <f aca="false">FALSE()</f>
        <v>0</v>
      </c>
      <c r="E27" s="17" t="b">
        <f aca="false">FALSE()</f>
        <v>0</v>
      </c>
      <c r="F27" s="17" t="b">
        <f aca="false">FALSE()</f>
        <v>0</v>
      </c>
      <c r="G27" s="17" t="b">
        <f aca="false">FALSE()</f>
        <v>0</v>
      </c>
      <c r="H27" s="17" t="b">
        <f aca="false">FALSE()</f>
        <v>0</v>
      </c>
      <c r="I27" s="17" t="b">
        <f aca="false">FALSE()</f>
        <v>0</v>
      </c>
      <c r="J27" s="17" t="b">
        <f aca="false">FALSE()</f>
        <v>0</v>
      </c>
      <c r="K27" s="17" t="b">
        <f aca="false">FALSE()</f>
        <v>0</v>
      </c>
      <c r="L27" s="17" t="b">
        <f aca="false">FALSE()</f>
        <v>0</v>
      </c>
      <c r="M27" s="17" t="b">
        <f aca="false">FALSE()</f>
        <v>0</v>
      </c>
      <c r="N27" s="17" t="b">
        <f aca="false">FALSE()</f>
        <v>0</v>
      </c>
      <c r="O27" s="17" t="b">
        <f aca="false">FALSE()</f>
        <v>0</v>
      </c>
      <c r="P27" s="17" t="b">
        <f aca="false">FALSE()</f>
        <v>0</v>
      </c>
      <c r="Q27" s="17" t="b">
        <f aca="false">FALSE()</f>
        <v>0</v>
      </c>
      <c r="R27" s="17" t="b">
        <f aca="false">FALSE()</f>
        <v>0</v>
      </c>
      <c r="S27" s="17" t="b">
        <f aca="false">FALSE()</f>
        <v>0</v>
      </c>
      <c r="T27" s="17" t="b">
        <f aca="false">FALSE()</f>
        <v>0</v>
      </c>
      <c r="U27" s="17" t="b">
        <f aca="false">FALSE()</f>
        <v>0</v>
      </c>
      <c r="V27" s="17" t="b">
        <f aca="false">FALSE()</f>
        <v>0</v>
      </c>
      <c r="W27" s="17" t="b">
        <f aca="false">FALSE()</f>
        <v>0</v>
      </c>
      <c r="X27" s="17" t="b">
        <f aca="false">FALSE()</f>
        <v>0</v>
      </c>
      <c r="Y27" s="17" t="b">
        <f aca="false">FALSE()</f>
        <v>0</v>
      </c>
      <c r="Z27" s="17" t="b">
        <f aca="false">FALSE()</f>
        <v>0</v>
      </c>
      <c r="AA27" s="17" t="b">
        <f aca="false">FALSE()</f>
        <v>0</v>
      </c>
      <c r="AB27" s="17" t="b">
        <f aca="false">FALSE()</f>
        <v>0</v>
      </c>
      <c r="AC27" s="17" t="b">
        <f aca="false">FALSE()</f>
        <v>0</v>
      </c>
      <c r="AD27" s="17" t="b">
        <f aca="false">FALSE()</f>
        <v>0</v>
      </c>
      <c r="AE27" s="17" t="b">
        <f aca="false">FALSE()</f>
        <v>0</v>
      </c>
      <c r="AF27" s="17" t="b">
        <f aca="false">FALSE()</f>
        <v>0</v>
      </c>
      <c r="AG27" s="17" t="b">
        <f aca="false">FALSE()</f>
        <v>0</v>
      </c>
      <c r="AH27" s="1"/>
      <c r="AI27" s="18" t="str">
        <f aca="false">IF($B27="","",$AP$3)</f>
        <v/>
      </c>
      <c r="AJ27" s="18" t="str">
        <f aca="false">IF($B27="","",COUNTIF(C27:AG27,TRUE()))</f>
        <v/>
      </c>
      <c r="AK27" s="18" t="str">
        <f aca="false">IF($B27="","",AI27-AJ27)</f>
        <v/>
      </c>
      <c r="AL27" s="19" t="str">
        <f aca="false">IF($B27="","",AJ27/AI27)</f>
        <v/>
      </c>
      <c r="AM27" s="20" t="str">
        <f aca="false">IF($B27="","",AJ27/AI27)</f>
        <v/>
      </c>
      <c r="AN27" s="1" t="n">
        <f aca="false">IF($B27="",-1,AM27-ROW()/100000)</f>
        <v>-1</v>
      </c>
      <c r="AO27" s="1"/>
    </row>
    <row r="28" customFormat="false" ht="18" hidden="false" customHeight="true" outlineLevel="0" collapsed="false">
      <c r="A28" s="1"/>
      <c r="B28" s="16"/>
      <c r="C28" s="17" t="b">
        <f aca="false">FALSE()</f>
        <v>0</v>
      </c>
      <c r="D28" s="17" t="b">
        <f aca="false">FALSE()</f>
        <v>0</v>
      </c>
      <c r="E28" s="17" t="b">
        <f aca="false">FALSE()</f>
        <v>0</v>
      </c>
      <c r="F28" s="17" t="b">
        <f aca="false">FALSE()</f>
        <v>0</v>
      </c>
      <c r="G28" s="17" t="b">
        <f aca="false">FALSE()</f>
        <v>0</v>
      </c>
      <c r="H28" s="17" t="b">
        <f aca="false">FALSE()</f>
        <v>0</v>
      </c>
      <c r="I28" s="17" t="b">
        <f aca="false">FALSE()</f>
        <v>0</v>
      </c>
      <c r="J28" s="17" t="b">
        <f aca="false">FALSE()</f>
        <v>0</v>
      </c>
      <c r="K28" s="17" t="b">
        <f aca="false">FALSE()</f>
        <v>0</v>
      </c>
      <c r="L28" s="17" t="b">
        <f aca="false">FALSE()</f>
        <v>0</v>
      </c>
      <c r="M28" s="17" t="b">
        <f aca="false">FALSE()</f>
        <v>0</v>
      </c>
      <c r="N28" s="17" t="b">
        <f aca="false">FALSE()</f>
        <v>0</v>
      </c>
      <c r="O28" s="17" t="b">
        <f aca="false">FALSE()</f>
        <v>0</v>
      </c>
      <c r="P28" s="17" t="b">
        <f aca="false">FALSE()</f>
        <v>0</v>
      </c>
      <c r="Q28" s="17" t="b">
        <f aca="false">FALSE()</f>
        <v>0</v>
      </c>
      <c r="R28" s="17" t="b">
        <f aca="false">FALSE()</f>
        <v>0</v>
      </c>
      <c r="S28" s="17" t="b">
        <f aca="false">FALSE()</f>
        <v>0</v>
      </c>
      <c r="T28" s="17" t="b">
        <f aca="false">FALSE()</f>
        <v>0</v>
      </c>
      <c r="U28" s="17" t="b">
        <f aca="false">FALSE()</f>
        <v>0</v>
      </c>
      <c r="V28" s="17" t="b">
        <f aca="false">FALSE()</f>
        <v>0</v>
      </c>
      <c r="W28" s="17" t="b">
        <f aca="false">FALSE()</f>
        <v>0</v>
      </c>
      <c r="X28" s="17" t="b">
        <f aca="false">FALSE()</f>
        <v>0</v>
      </c>
      <c r="Y28" s="17" t="b">
        <f aca="false">FALSE()</f>
        <v>0</v>
      </c>
      <c r="Z28" s="17" t="b">
        <f aca="false">FALSE()</f>
        <v>0</v>
      </c>
      <c r="AA28" s="17" t="b">
        <f aca="false">FALSE()</f>
        <v>0</v>
      </c>
      <c r="AB28" s="17" t="b">
        <f aca="false">FALSE()</f>
        <v>0</v>
      </c>
      <c r="AC28" s="17" t="b">
        <f aca="false">FALSE()</f>
        <v>0</v>
      </c>
      <c r="AD28" s="17" t="b">
        <f aca="false">FALSE()</f>
        <v>0</v>
      </c>
      <c r="AE28" s="17" t="b">
        <f aca="false">FALSE()</f>
        <v>0</v>
      </c>
      <c r="AF28" s="17" t="b">
        <f aca="false">FALSE()</f>
        <v>0</v>
      </c>
      <c r="AG28" s="17" t="b">
        <f aca="false">FALSE()</f>
        <v>0</v>
      </c>
      <c r="AH28" s="1"/>
      <c r="AI28" s="18" t="str">
        <f aca="false">IF($B28="","",$AP$3)</f>
        <v/>
      </c>
      <c r="AJ28" s="18" t="str">
        <f aca="false">IF($B28="","",COUNTIF(C28:AG28,TRUE()))</f>
        <v/>
      </c>
      <c r="AK28" s="18" t="str">
        <f aca="false">IF($B28="","",AI28-AJ28)</f>
        <v/>
      </c>
      <c r="AL28" s="19" t="str">
        <f aca="false">IF($B28="","",AJ28/AI28)</f>
        <v/>
      </c>
      <c r="AM28" s="20" t="str">
        <f aca="false">IF($B28="","",AJ28/AI28)</f>
        <v/>
      </c>
      <c r="AN28" s="1" t="n">
        <f aca="false">IF($B28="",-1,AM28-ROW()/100000)</f>
        <v>-1</v>
      </c>
      <c r="AO28" s="1"/>
    </row>
    <row r="29" customFormat="false" ht="15" hidden="false" customHeight="false" outlineLevel="0" collapsed="false">
      <c r="A29" s="1"/>
      <c r="B29" s="22" t="s">
        <v>45</v>
      </c>
      <c r="C29" s="23" t="n">
        <f aca="false">IF(OR(C$16="",SUMPRODUCT(--(LEN($B$17:$B$28)&gt;0))=0),"",SUMPRODUCT(($B$17:$B$28&lt;&gt;"")*(C$17:C$28=TRUE()))/SUMPRODUCT(--(LEN($B$17:$B$28)&gt;0)))</f>
        <v>0</v>
      </c>
      <c r="D29" s="23" t="n">
        <f aca="false">IF(OR(D$16="",SUMPRODUCT(--(LEN($B$17:$B$28)&gt;0))=0),"",SUMPRODUCT(($B$17:$B$28&lt;&gt;"")*(D$17:D$28=TRUE()))/SUMPRODUCT(--(LEN($B$17:$B$28)&gt;0)))</f>
        <v>0</v>
      </c>
      <c r="E29" s="23" t="n">
        <f aca="false">IF(OR(E$16="",SUMPRODUCT(--(LEN($B$17:$B$28)&gt;0))=0),"",SUMPRODUCT(($B$17:$B$28&lt;&gt;"")*(E$17:E$28=TRUE()))/SUMPRODUCT(--(LEN($B$17:$B$28)&gt;0)))</f>
        <v>0</v>
      </c>
      <c r="F29" s="23" t="n">
        <f aca="false">IF(OR(F$16="",SUMPRODUCT(--(LEN($B$17:$B$28)&gt;0))=0),"",SUMPRODUCT(($B$17:$B$28&lt;&gt;"")*(F$17:F$28=TRUE()))/SUMPRODUCT(--(LEN($B$17:$B$28)&gt;0)))</f>
        <v>0</v>
      </c>
      <c r="G29" s="23" t="n">
        <f aca="false">IF(OR(G$16="",SUMPRODUCT(--(LEN($B$17:$B$28)&gt;0))=0),"",SUMPRODUCT(($B$17:$B$28&lt;&gt;"")*(G$17:G$28=TRUE()))/SUMPRODUCT(--(LEN($B$17:$B$28)&gt;0)))</f>
        <v>0</v>
      </c>
      <c r="H29" s="23" t="n">
        <f aca="false">IF(OR(H$16="",SUMPRODUCT(--(LEN($B$17:$B$28)&gt;0))=0),"",SUMPRODUCT(($B$17:$B$28&lt;&gt;"")*(H$17:H$28=TRUE()))/SUMPRODUCT(--(LEN($B$17:$B$28)&gt;0)))</f>
        <v>0</v>
      </c>
      <c r="I29" s="23" t="n">
        <f aca="false">IF(OR(I$16="",SUMPRODUCT(--(LEN($B$17:$B$28)&gt;0))=0),"",SUMPRODUCT(($B$17:$B$28&lt;&gt;"")*(I$17:I$28=TRUE()))/SUMPRODUCT(--(LEN($B$17:$B$28)&gt;0)))</f>
        <v>0</v>
      </c>
      <c r="J29" s="23" t="n">
        <f aca="false">IF(OR(J$16="",SUMPRODUCT(--(LEN($B$17:$B$28)&gt;0))=0),"",SUMPRODUCT(($B$17:$B$28&lt;&gt;"")*(J$17:J$28=TRUE()))/SUMPRODUCT(--(LEN($B$17:$B$28)&gt;0)))</f>
        <v>0</v>
      </c>
      <c r="K29" s="23" t="n">
        <f aca="false">IF(OR(K$16="",SUMPRODUCT(--(LEN($B$17:$B$28)&gt;0))=0),"",SUMPRODUCT(($B$17:$B$28&lt;&gt;"")*(K$17:K$28=TRUE()))/SUMPRODUCT(--(LEN($B$17:$B$28)&gt;0)))</f>
        <v>0</v>
      </c>
      <c r="L29" s="23" t="n">
        <f aca="false">IF(OR(L$16="",SUMPRODUCT(--(LEN($B$17:$B$28)&gt;0))=0),"",SUMPRODUCT(($B$17:$B$28&lt;&gt;"")*(L$17:L$28=TRUE()))/SUMPRODUCT(--(LEN($B$17:$B$28)&gt;0)))</f>
        <v>0</v>
      </c>
      <c r="M29" s="23" t="n">
        <f aca="false">IF(OR(M$16="",SUMPRODUCT(--(LEN($B$17:$B$28)&gt;0))=0),"",SUMPRODUCT(($B$17:$B$28&lt;&gt;"")*(M$17:M$28=TRUE()))/SUMPRODUCT(--(LEN($B$17:$B$28)&gt;0)))</f>
        <v>0</v>
      </c>
      <c r="N29" s="23" t="n">
        <f aca="false">IF(OR(N$16="",SUMPRODUCT(--(LEN($B$17:$B$28)&gt;0))=0),"",SUMPRODUCT(($B$17:$B$28&lt;&gt;"")*(N$17:N$28=TRUE()))/SUMPRODUCT(--(LEN($B$17:$B$28)&gt;0)))</f>
        <v>0</v>
      </c>
      <c r="O29" s="23" t="n">
        <f aca="false">IF(OR(O$16="",SUMPRODUCT(--(LEN($B$17:$B$28)&gt;0))=0),"",SUMPRODUCT(($B$17:$B$28&lt;&gt;"")*(O$17:O$28=TRUE()))/SUMPRODUCT(--(LEN($B$17:$B$28)&gt;0)))</f>
        <v>0</v>
      </c>
      <c r="P29" s="23" t="n">
        <f aca="false">IF(OR(P$16="",SUMPRODUCT(--(LEN($B$17:$B$28)&gt;0))=0),"",SUMPRODUCT(($B$17:$B$28&lt;&gt;"")*(P$17:P$28=TRUE()))/SUMPRODUCT(--(LEN($B$17:$B$28)&gt;0)))</f>
        <v>0</v>
      </c>
      <c r="Q29" s="23" t="n">
        <f aca="false">IF(OR(Q$16="",SUMPRODUCT(--(LEN($B$17:$B$28)&gt;0))=0),"",SUMPRODUCT(($B$17:$B$28&lt;&gt;"")*(Q$17:Q$28=TRUE()))/SUMPRODUCT(--(LEN($B$17:$B$28)&gt;0)))</f>
        <v>0</v>
      </c>
      <c r="R29" s="23" t="n">
        <f aca="false">IF(OR(R$16="",SUMPRODUCT(--(LEN($B$17:$B$28)&gt;0))=0),"",SUMPRODUCT(($B$17:$B$28&lt;&gt;"")*(R$17:R$28=TRUE()))/SUMPRODUCT(--(LEN($B$17:$B$28)&gt;0)))</f>
        <v>0</v>
      </c>
      <c r="S29" s="23" t="n">
        <f aca="false">IF(OR(S$16="",SUMPRODUCT(--(LEN($B$17:$B$28)&gt;0))=0),"",SUMPRODUCT(($B$17:$B$28&lt;&gt;"")*(S$17:S$28=TRUE()))/SUMPRODUCT(--(LEN($B$17:$B$28)&gt;0)))</f>
        <v>0</v>
      </c>
      <c r="T29" s="23" t="n">
        <f aca="false">IF(OR(T$16="",SUMPRODUCT(--(LEN($B$17:$B$28)&gt;0))=0),"",SUMPRODUCT(($B$17:$B$28&lt;&gt;"")*(T$17:T$28=TRUE()))/SUMPRODUCT(--(LEN($B$17:$B$28)&gt;0)))</f>
        <v>0</v>
      </c>
      <c r="U29" s="23" t="n">
        <f aca="false">IF(OR(U$16="",SUMPRODUCT(--(LEN($B$17:$B$28)&gt;0))=0),"",SUMPRODUCT(($B$17:$B$28&lt;&gt;"")*(U$17:U$28=TRUE()))/SUMPRODUCT(--(LEN($B$17:$B$28)&gt;0)))</f>
        <v>0</v>
      </c>
      <c r="V29" s="23" t="n">
        <f aca="false">IF(OR(V$16="",SUMPRODUCT(--(LEN($B$17:$B$28)&gt;0))=0),"",SUMPRODUCT(($B$17:$B$28&lt;&gt;"")*(V$17:V$28=TRUE()))/SUMPRODUCT(--(LEN($B$17:$B$28)&gt;0)))</f>
        <v>0</v>
      </c>
      <c r="W29" s="23" t="n">
        <f aca="false">IF(OR(W$16="",SUMPRODUCT(--(LEN($B$17:$B$28)&gt;0))=0),"",SUMPRODUCT(($B$17:$B$28&lt;&gt;"")*(W$17:W$28=TRUE()))/SUMPRODUCT(--(LEN($B$17:$B$28)&gt;0)))</f>
        <v>0</v>
      </c>
      <c r="X29" s="23" t="n">
        <f aca="false">IF(OR(X$16="",SUMPRODUCT(--(LEN($B$17:$B$28)&gt;0))=0),"",SUMPRODUCT(($B$17:$B$28&lt;&gt;"")*(X$17:X$28=TRUE()))/SUMPRODUCT(--(LEN($B$17:$B$28)&gt;0)))</f>
        <v>0</v>
      </c>
      <c r="Y29" s="23" t="n">
        <f aca="false">IF(OR(Y$16="",SUMPRODUCT(--(LEN($B$17:$B$28)&gt;0))=0),"",SUMPRODUCT(($B$17:$B$28&lt;&gt;"")*(Y$17:Y$28=TRUE()))/SUMPRODUCT(--(LEN($B$17:$B$28)&gt;0)))</f>
        <v>0</v>
      </c>
      <c r="Z29" s="23" t="n">
        <f aca="false">IF(OR(Z$16="",SUMPRODUCT(--(LEN($B$17:$B$28)&gt;0))=0),"",SUMPRODUCT(($B$17:$B$28&lt;&gt;"")*(Z$17:Z$28=TRUE()))/SUMPRODUCT(--(LEN($B$17:$B$28)&gt;0)))</f>
        <v>0</v>
      </c>
      <c r="AA29" s="23" t="n">
        <f aca="false">IF(OR(AA$16="",SUMPRODUCT(--(LEN($B$17:$B$28)&gt;0))=0),"",SUMPRODUCT(($B$17:$B$28&lt;&gt;"")*(AA$17:AA$28=TRUE()))/SUMPRODUCT(--(LEN($B$17:$B$28)&gt;0)))</f>
        <v>0</v>
      </c>
      <c r="AB29" s="23" t="n">
        <f aca="false">IF(OR(AB$16="",SUMPRODUCT(--(LEN($B$17:$B$28)&gt;0))=0),"",SUMPRODUCT(($B$17:$B$28&lt;&gt;"")*(AB$17:AB$28=TRUE()))/SUMPRODUCT(--(LEN($B$17:$B$28)&gt;0)))</f>
        <v>0</v>
      </c>
      <c r="AC29" s="23" t="n">
        <f aca="false">IF(OR(AC$16="",SUMPRODUCT(--(LEN($B$17:$B$28)&gt;0))=0),"",SUMPRODUCT(($B$17:$B$28&lt;&gt;"")*(AC$17:AC$28=TRUE()))/SUMPRODUCT(--(LEN($B$17:$B$28)&gt;0)))</f>
        <v>0</v>
      </c>
      <c r="AD29" s="23" t="n">
        <f aca="false">IF(OR(AD$16="",SUMPRODUCT(--(LEN($B$17:$B$28)&gt;0))=0),"",SUMPRODUCT(($B$17:$B$28&lt;&gt;"")*(AD$17:AD$28=TRUE()))/SUMPRODUCT(--(LEN($B$17:$B$28)&gt;0)))</f>
        <v>0</v>
      </c>
      <c r="AE29" s="23" t="n">
        <f aca="false">IF(OR(AE$16="",SUMPRODUCT(--(LEN($B$17:$B$28)&gt;0))=0),"",SUMPRODUCT(($B$17:$B$28&lt;&gt;"")*(AE$17:AE$28=TRUE()))/SUMPRODUCT(--(LEN($B$17:$B$28)&gt;0)))</f>
        <v>0</v>
      </c>
      <c r="AF29" s="23" t="n">
        <f aca="false">IF(OR(AF$16="",SUMPRODUCT(--(LEN($B$17:$B$28)&gt;0))=0),"",SUMPRODUCT(($B$17:$B$28&lt;&gt;"")*(AF$17:AF$28=TRUE()))/SUMPRODUCT(--(LEN($B$17:$B$28)&gt;0)))</f>
        <v>0</v>
      </c>
      <c r="AG29" s="23" t="n">
        <f aca="false">IF(OR(AG$16="",SUMPRODUCT(--(LEN($B$17:$B$28)&gt;0))=0),"",SUMPRODUCT(($B$17:$B$28&lt;&gt;"")*(AG$17:AG$28=TRUE()))/SUMPRODUCT(--(LEN($B$17:$B$28)&gt;0)))</f>
        <v>0</v>
      </c>
      <c r="AH29" s="1"/>
      <c r="AI29" s="1"/>
      <c r="AJ29" s="1"/>
      <c r="AK29" s="1"/>
      <c r="AL29" s="1"/>
      <c r="AM29" s="1"/>
      <c r="AN29" s="1"/>
      <c r="AO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</row>
    <row r="31" customFormat="false" ht="15" hidden="false" customHeight="false" outlineLevel="0" collapsed="false">
      <c r="A31" s="1"/>
      <c r="B31" s="24"/>
      <c r="C31" s="12" t="s">
        <v>46</v>
      </c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"/>
      <c r="AI31" s="25" t="s">
        <v>47</v>
      </c>
      <c r="AJ31" s="25"/>
      <c r="AK31" s="25"/>
      <c r="AL31" s="25"/>
      <c r="AM31" s="25"/>
      <c r="AN31" s="1"/>
      <c r="AO31" s="1"/>
    </row>
    <row r="32" customFormat="false" ht="15.75" hidden="false" customHeight="true" outlineLevel="0" collapsed="false">
      <c r="A32" s="1"/>
      <c r="B32" s="7" t="s">
        <v>48</v>
      </c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1"/>
      <c r="AI32" s="27" t="n">
        <v>1</v>
      </c>
      <c r="AJ32" s="28" t="str">
        <f aca="false">IF(LARGE($AN$17:$AN$28,1)&lt;0,"",INDEX($B$17:$B$28,MATCH(LARGE($AN$17:$AN$28,1),$AN$17:$AN$28,0)))</f>
        <v/>
      </c>
      <c r="AK32" s="28"/>
      <c r="AL32" s="28"/>
      <c r="AM32" s="29" t="str">
        <f aca="false">IF(AJ32="","",INDEX($AM$17:$AM$28,MATCH(LARGE($AN$17:$AN$28,1),$AN$17:$AN$28,0)))</f>
        <v/>
      </c>
      <c r="AN32" s="1"/>
      <c r="AO32" s="1"/>
    </row>
    <row r="33" customFormat="false" ht="15.75" hidden="false" customHeight="true" outlineLevel="0" collapsed="false">
      <c r="A33" s="1"/>
      <c r="B33" s="7" t="s">
        <v>49</v>
      </c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1"/>
      <c r="AI33" s="27" t="n">
        <v>2</v>
      </c>
      <c r="AJ33" s="28" t="str">
        <f aca="false">IF(LARGE($AN$17:$AN$28,2)&lt;0,"",INDEX($B$17:$B$28,MATCH(LARGE($AN$17:$AN$28,2),$AN$17:$AN$28,0)))</f>
        <v/>
      </c>
      <c r="AK33" s="28"/>
      <c r="AL33" s="28"/>
      <c r="AM33" s="29" t="str">
        <f aca="false">IF(AJ33="","",INDEX($AM$17:$AM$28,MATCH(LARGE($AN$17:$AN$28,2),$AN$17:$AN$28,0)))</f>
        <v/>
      </c>
      <c r="AN33" s="1"/>
      <c r="AO33" s="1"/>
    </row>
    <row r="34" customFormat="false" ht="15.75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27" t="n">
        <v>3</v>
      </c>
      <c r="AJ34" s="28" t="str">
        <f aca="false">IF(LARGE($AN$17:$AN$28,3)&lt;0,"",INDEX($B$17:$B$28,MATCH(LARGE($AN$17:$AN$28,3),$AN$17:$AN$28,0)))</f>
        <v/>
      </c>
      <c r="AK34" s="28"/>
      <c r="AL34" s="28"/>
      <c r="AM34" s="29" t="str">
        <f aca="false">IF(AJ34="","",INDEX($AM$17:$AM$28,MATCH(LARGE($AN$17:$AN$28,3),$AN$17:$AN$28,0)))</f>
        <v/>
      </c>
      <c r="AN34" s="1"/>
      <c r="AO34" s="1"/>
    </row>
    <row r="35" customFormat="false" ht="15.75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27" t="n">
        <v>4</v>
      </c>
      <c r="AJ35" s="28" t="str">
        <f aca="false">IF(LARGE($AN$17:$AN$28,4)&lt;0,"",INDEX($B$17:$B$28,MATCH(LARGE($AN$17:$AN$28,4),$AN$17:$AN$28,0)))</f>
        <v/>
      </c>
      <c r="AK35" s="28"/>
      <c r="AL35" s="28"/>
      <c r="AM35" s="29" t="str">
        <f aca="false">IF(AJ35="","",INDEX($AM$17:$AM$28,MATCH(LARGE($AN$17:$AN$28,4),$AN$17:$AN$28,0)))</f>
        <v/>
      </c>
      <c r="AN35" s="1"/>
      <c r="AO35" s="1"/>
    </row>
    <row r="36" customFormat="false" ht="15.75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27" t="n">
        <v>5</v>
      </c>
      <c r="AJ36" s="28" t="str">
        <f aca="false">IF(LARGE($AN$17:$AN$28,5)&lt;0,"",INDEX($B$17:$B$28,MATCH(LARGE($AN$17:$AN$28,5),$AN$17:$AN$28,0)))</f>
        <v/>
      </c>
      <c r="AK36" s="28"/>
      <c r="AL36" s="28"/>
      <c r="AM36" s="29" t="str">
        <f aca="false">IF(AJ36="","",INDEX($AM$17:$AM$28,MATCH(LARGE($AN$17:$AN$28,5),$AN$17:$AN$28,0)))</f>
        <v/>
      </c>
      <c r="AN36" s="1"/>
      <c r="AO36" s="1"/>
    </row>
    <row r="37" customFormat="false" ht="15.75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27" t="n">
        <v>6</v>
      </c>
      <c r="AJ37" s="28" t="str">
        <f aca="false">IF(LARGE($AN$17:$AN$28,6)&lt;0,"",INDEX($B$17:$B$28,MATCH(LARGE($AN$17:$AN$28,6),$AN$17:$AN$28,0)))</f>
        <v/>
      </c>
      <c r="AK37" s="28"/>
      <c r="AL37" s="28"/>
      <c r="AM37" s="29" t="str">
        <f aca="false">IF(AJ37="","",INDEX($AM$17:$AM$28,MATCH(LARGE($AN$17:$AN$28,6),$AN$17:$AN$28,0)))</f>
        <v/>
      </c>
      <c r="AN37" s="1"/>
      <c r="AO37" s="1"/>
    </row>
    <row r="38" customFormat="false" ht="15.75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27" t="n">
        <v>7</v>
      </c>
      <c r="AJ38" s="28" t="str">
        <f aca="false">IF(LARGE($AN$17:$AN$28,7)&lt;0,"",INDEX($B$17:$B$28,MATCH(LARGE($AN$17:$AN$28,7),$AN$17:$AN$28,0)))</f>
        <v/>
      </c>
      <c r="AK38" s="28"/>
      <c r="AL38" s="28"/>
      <c r="AM38" s="29" t="str">
        <f aca="false">IF(AJ38="","",INDEX($AM$17:$AM$28,MATCH(LARGE($AN$17:$AN$28,7),$AN$17:$AN$28,0)))</f>
        <v/>
      </c>
      <c r="AN38" s="1"/>
      <c r="AO38" s="1"/>
    </row>
    <row r="39" customFormat="false" ht="15.75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27" t="n">
        <v>8</v>
      </c>
      <c r="AJ39" s="28" t="str">
        <f aca="false">IF(LARGE($AN$17:$AN$28,8)&lt;0,"",INDEX($B$17:$B$28,MATCH(LARGE($AN$17:$AN$28,8),$AN$17:$AN$28,0)))</f>
        <v/>
      </c>
      <c r="AK39" s="28"/>
      <c r="AL39" s="28"/>
      <c r="AM39" s="29" t="str">
        <f aca="false">IF(AJ39="","",INDEX($AM$17:$AM$28,MATCH(LARGE($AN$17:$AN$28,8),$AN$17:$AN$28,0)))</f>
        <v/>
      </c>
      <c r="AN39" s="1"/>
      <c r="AO39" s="1"/>
    </row>
    <row r="40" customFormat="false" ht="15.75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27" t="n">
        <v>9</v>
      </c>
      <c r="AJ40" s="28" t="str">
        <f aca="false">IF(LARGE($AN$17:$AN$28,9)&lt;0,"",INDEX($B$17:$B$28,MATCH(LARGE($AN$17:$AN$28,9),$AN$17:$AN$28,0)))</f>
        <v/>
      </c>
      <c r="AK40" s="28"/>
      <c r="AL40" s="28"/>
      <c r="AM40" s="29" t="str">
        <f aca="false">IF(AJ40="","",INDEX($AM$17:$AM$28,MATCH(LARGE($AN$17:$AN$28,9),$AN$17:$AN$28,0)))</f>
        <v/>
      </c>
      <c r="AN40" s="1"/>
      <c r="AO40" s="1"/>
    </row>
    <row r="41" customFormat="false" ht="15.75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27" t="n">
        <v>10</v>
      </c>
      <c r="AJ41" s="28" t="str">
        <f aca="false">IF(LARGE($AN$17:$AN$28,10)&lt;0,"",INDEX($B$17:$B$28,MATCH(LARGE($AN$17:$AN$28,10),$AN$17:$AN$28,0)))</f>
        <v/>
      </c>
      <c r="AK41" s="28"/>
      <c r="AL41" s="28"/>
      <c r="AM41" s="29" t="str">
        <f aca="false">IF(AJ41="","",INDEX($AM$17:$AM$28,MATCH(LARGE($AN$17:$AN$28,10),$AN$17:$AN$28,0)))</f>
        <v/>
      </c>
      <c r="AN41" s="1"/>
      <c r="AO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</row>
    <row r="48" customFormat="false" ht="15" hidden="true" customHeight="false" outlineLevel="0" collapsed="false">
      <c r="A48" s="1"/>
      <c r="B48" s="1"/>
      <c r="C48" s="1" t="str">
        <f aca="false">IF(C$16="","",C$15)</f>
        <v>Th</v>
      </c>
      <c r="D48" s="1" t="str">
        <f aca="false">IF(D$16="","",D$15)</f>
        <v>Fr</v>
      </c>
      <c r="E48" s="1" t="str">
        <f aca="false">IF(E$16="","",E$15)</f>
        <v>Sa</v>
      </c>
      <c r="F48" s="1" t="str">
        <f aca="false">IF(F$16="","",F$15)</f>
        <v>Su</v>
      </c>
      <c r="G48" s="1" t="str">
        <f aca="false">IF(G$16="","",G$15)</f>
        <v>Mo</v>
      </c>
      <c r="H48" s="1" t="str">
        <f aca="false">IF(H$16="","",H$15)</f>
        <v>Tu</v>
      </c>
      <c r="I48" s="1" t="str">
        <f aca="false">IF(I$16="","",I$15)</f>
        <v>We</v>
      </c>
      <c r="J48" s="1" t="str">
        <f aca="false">IF(J$16="","",J$15)</f>
        <v>Th</v>
      </c>
      <c r="K48" s="1" t="str">
        <f aca="false">IF(K$16="","",K$15)</f>
        <v>Fr</v>
      </c>
      <c r="L48" s="1" t="str">
        <f aca="false">IF(L$16="","",L$15)</f>
        <v>Sa</v>
      </c>
      <c r="M48" s="1" t="str">
        <f aca="false">IF(M$16="","",M$15)</f>
        <v>Su</v>
      </c>
      <c r="N48" s="1" t="str">
        <f aca="false">IF(N$16="","",N$15)</f>
        <v>Mo</v>
      </c>
      <c r="O48" s="1" t="str">
        <f aca="false">IF(O$16="","",O$15)</f>
        <v>Tu</v>
      </c>
      <c r="P48" s="1" t="str">
        <f aca="false">IF(P$16="","",P$15)</f>
        <v>We</v>
      </c>
      <c r="Q48" s="1" t="str">
        <f aca="false">IF(Q$16="","",Q$15)</f>
        <v>Th</v>
      </c>
      <c r="R48" s="1" t="str">
        <f aca="false">IF(R$16="","",R$15)</f>
        <v>Fr</v>
      </c>
      <c r="S48" s="1" t="str">
        <f aca="false">IF(S$16="","",S$15)</f>
        <v>Sa</v>
      </c>
      <c r="T48" s="1" t="str">
        <f aca="false">IF(T$16="","",T$15)</f>
        <v>Su</v>
      </c>
      <c r="U48" s="1" t="str">
        <f aca="false">IF(U$16="","",U$15)</f>
        <v>Mo</v>
      </c>
      <c r="V48" s="1" t="str">
        <f aca="false">IF(V$16="","",V$15)</f>
        <v>Tu</v>
      </c>
      <c r="W48" s="1" t="str">
        <f aca="false">IF(W$16="","",W$15)</f>
        <v>We</v>
      </c>
      <c r="X48" s="1" t="str">
        <f aca="false">IF(X$16="","",X$15)</f>
        <v>Th</v>
      </c>
      <c r="Y48" s="1" t="str">
        <f aca="false">IF(Y$16="","",Y$15)</f>
        <v>Fr</v>
      </c>
      <c r="Z48" s="1" t="str">
        <f aca="false">IF(Z$16="","",Z$15)</f>
        <v>Sa</v>
      </c>
      <c r="AA48" s="1" t="str">
        <f aca="false">IF(AA$16="","",AA$15)</f>
        <v>Su</v>
      </c>
      <c r="AB48" s="1" t="str">
        <f aca="false">IF(AB$16="","",AB$15)</f>
        <v>Mo</v>
      </c>
      <c r="AC48" s="1" t="str">
        <f aca="false">IF(AC$16="","",AC$15)</f>
        <v>Tu</v>
      </c>
      <c r="AD48" s="1" t="str">
        <f aca="false">IF(AD$16="","",AD$15)</f>
        <v>We</v>
      </c>
      <c r="AE48" s="1" t="str">
        <f aca="false">IF(AE$16="","",AE$15)</f>
        <v>Th</v>
      </c>
      <c r="AF48" s="1" t="str">
        <f aca="false">IF(AF$16="","",AF$15)</f>
        <v>Fr</v>
      </c>
      <c r="AG48" s="1" t="str">
        <f aca="false">IF(AG$16="","",AG$15)</f>
        <v>Sa</v>
      </c>
      <c r="AH48" s="1"/>
      <c r="AI48" s="1"/>
      <c r="AJ48" s="1"/>
      <c r="AK48" s="1"/>
      <c r="AL48" s="1"/>
      <c r="AM48" s="1"/>
      <c r="AN48" s="1"/>
      <c r="AO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</row>
  </sheetData>
  <mergeCells count="31">
    <mergeCell ref="B2:B3"/>
    <mergeCell ref="C2:Z2"/>
    <mergeCell ref="AA2:AG2"/>
    <mergeCell ref="AI2:AJ2"/>
    <mergeCell ref="AK2:AM2"/>
    <mergeCell ref="AI3:AJ4"/>
    <mergeCell ref="AK3:AM4"/>
    <mergeCell ref="AI5:AJ5"/>
    <mergeCell ref="AI6:AJ7"/>
    <mergeCell ref="AI8:AJ8"/>
    <mergeCell ref="AI9:AJ10"/>
    <mergeCell ref="B10:B12"/>
    <mergeCell ref="B14:B16"/>
    <mergeCell ref="C14:I14"/>
    <mergeCell ref="J14:P14"/>
    <mergeCell ref="Q14:W14"/>
    <mergeCell ref="X14:AD14"/>
    <mergeCell ref="AE14:AG14"/>
    <mergeCell ref="AI14:AM15"/>
    <mergeCell ref="C31:AG31"/>
    <mergeCell ref="AI31:AM31"/>
    <mergeCell ref="AJ32:AL32"/>
    <mergeCell ref="AJ33:AL33"/>
    <mergeCell ref="AJ34:AL34"/>
    <mergeCell ref="AJ35:AL35"/>
    <mergeCell ref="AJ36:AL36"/>
    <mergeCell ref="AJ37:AL37"/>
    <mergeCell ref="AJ38:AL38"/>
    <mergeCell ref="AJ39:AL39"/>
    <mergeCell ref="AJ40:AL40"/>
    <mergeCell ref="AJ41:AL41"/>
  </mergeCells>
  <conditionalFormatting sqref="C17:AG28">
    <cfRule type="expression" priority="2" aboveAverage="0" equalAverage="0" bottom="0" percent="0" rank="0" text="" dxfId="0">
      <formula>C$16=""</formula>
    </cfRule>
    <cfRule type="expression" priority="3" aboveAverage="0" equalAverage="0" bottom="0" percent="0" rank="0" text="" dxfId="1">
      <formula>C17=1</formula>
    </cfRule>
    <cfRule type="expression" priority="4" aboveAverage="0" equalAverage="0" bottom="0" percent="0" rank="0" text="" dxfId="2">
      <formula>C17=0</formula>
    </cfRule>
  </conditionalFormatting>
  <conditionalFormatting sqref="C32:AG33">
    <cfRule type="expression" priority="5" aboveAverage="0" equalAverage="0" bottom="0" percent="0" rank="0" text="" dxfId="3">
      <formula>C$16=""</formula>
    </cfRule>
  </conditionalFormatting>
  <conditionalFormatting sqref="AL17:AL28">
    <cfRule type="dataBar" priority="6">
      <dataBar showValue="1" minLength="10" maxLength="90">
        <cfvo type="num" val="0"/>
        <cfvo type="num" val="1"/>
        <color rgb="FF1F2433"/>
      </dataBar>
      <extLst>
        <ext xmlns:x14="http://schemas.microsoft.com/office/spreadsheetml/2009/9/main" uri="{B025F937-C7B1-47D3-B67F-A62EFF666E3E}">
          <x14:id>{EAB0A84B-29C2-45FF-9EBC-D9E113DF8B11}</x14:id>
        </ext>
      </extLst>
    </cfRule>
  </conditionalFormatting>
  <dataValidations count="5">
    <dataValidation allowBlank="false" errorStyle="stop" operator="between" showDropDown="false" showErrorMessage="false" showInputMessage="false" sqref="B9" type="list">
      <formula1>"January,February,March,April,May,June,July,August,September,October,November,December"</formula1>
      <formula2>0</formula2>
    </dataValidation>
    <dataValidation allowBlank="false" errorStyle="stop" operator="between" showDropDown="false" showErrorMessage="false" showInputMessage="false" sqref="B7" type="whole">
      <formula1>1900</formula1>
      <formula2>2200</formula2>
    </dataValidation>
    <dataValidation allowBlank="true" errorStyle="stop" operator="between" showDropDown="false" showErrorMessage="false" showInputMessage="false" sqref="C17:AG28" type="list">
      <formula1>"TRUE,FALSE"</formula1>
      <formula2>0</formula2>
    </dataValidation>
    <dataValidation allowBlank="true" errorStyle="stop" operator="between" showDropDown="false" showErrorMessage="false" showInputMessage="false" sqref="C32:AG32" type="list">
      <formula1>"1,2,3,4,5,6,7,8,9,10"</formula1>
      <formula2>0</formula2>
    </dataValidation>
    <dataValidation allowBlank="true" errorStyle="stop" operator="between" showDropDown="false" showErrorMessage="false" showInputMessage="false" sqref="C33:AG33" type="list">
      <formula1>"0,1,2,3,4,5,6,7,8,9,10,11,12"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AB0A84B-29C2-45FF-9EBC-D9E113DF8B11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1F2433"/>
              <x14:axisColor rgb="FF000000"/>
            </x14:dataBar>
          </x14:cfRule>
          <xm:sqref>AL17:AL28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433"/>
    <pageSetUpPr fitToPage="false"/>
  </sheetPr>
  <dimension ref="A1:AQ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0" topLeftCell="C1" activePane="topRight" state="frozen"/>
      <selection pane="topLeft" activeCell="A1" activeCellId="0" sqref="A1"/>
      <selection pane="top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3" min="3" style="0" width="3.9"/>
    <col collapsed="false" customWidth="true" hidden="false" outlineLevel="0" max="34" min="34" style="0" width="2"/>
    <col collapsed="false" customWidth="true" hidden="false" outlineLevel="0" max="36" min="35" style="0" width="8"/>
    <col collapsed="false" customWidth="true" hidden="false" outlineLevel="0" max="37" min="37" style="0" width="7"/>
    <col collapsed="false" customWidth="true" hidden="false" outlineLevel="0" max="38" min="38" style="0" width="14"/>
    <col collapsed="false" customWidth="true" hidden="false" outlineLevel="0" max="39" min="39" style="0" width="8"/>
    <col collapsed="false" customWidth="true" hidden="true" outlineLevel="0" max="43" min="40" style="0" width="13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Q1" s="2" t="s">
        <v>0</v>
      </c>
    </row>
    <row r="2" customFormat="false" ht="21.75" hidden="false" customHeight="true" outlineLevel="0" collapsed="false">
      <c r="A2" s="1"/>
      <c r="B2" s="3" t="s">
        <v>1</v>
      </c>
      <c r="C2" s="4" t="s">
        <v>2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 t="s">
        <v>3</v>
      </c>
      <c r="AB2" s="4"/>
      <c r="AC2" s="4"/>
      <c r="AD2" s="4"/>
      <c r="AE2" s="4"/>
      <c r="AF2" s="4"/>
      <c r="AG2" s="4"/>
      <c r="AH2" s="1"/>
      <c r="AI2" s="4" t="s">
        <v>4</v>
      </c>
      <c r="AJ2" s="4"/>
      <c r="AK2" s="4" t="s">
        <v>5</v>
      </c>
      <c r="AL2" s="4"/>
      <c r="AM2" s="4"/>
      <c r="AN2" s="1"/>
      <c r="AO2" s="1" t="s">
        <v>6</v>
      </c>
      <c r="AP2" s="2" t="n">
        <f aca="false">MATCH($B$9,$AQ$1:$AQ$12,0)</f>
        <v>2</v>
      </c>
      <c r="AQ2" s="2" t="s">
        <v>7</v>
      </c>
    </row>
    <row r="3" customFormat="false" ht="15.75" hidden="false" customHeight="true" outlineLevel="0" collapsed="false">
      <c r="A3" s="1"/>
      <c r="B3" s="3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5" t="n">
        <f aca="false">SUMPRODUCT(--(LEN($B$17:$B$28)&gt;0))*$AP$3</f>
        <v>280</v>
      </c>
      <c r="AJ3" s="5"/>
      <c r="AK3" s="6" t="n">
        <f aca="false">IF(AI3=0,0,AI6/AI3)</f>
        <v>0</v>
      </c>
      <c r="AL3" s="6"/>
      <c r="AM3" s="6"/>
      <c r="AN3" s="1"/>
      <c r="AO3" s="1" t="s">
        <v>8</v>
      </c>
      <c r="AP3" s="2" t="n">
        <f aca="false">DAY(DATE($B$7,$AP$2+1,0))</f>
        <v>28</v>
      </c>
      <c r="AQ3" s="2" t="s">
        <v>9</v>
      </c>
    </row>
    <row r="4" customFormat="false" ht="15.7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5"/>
      <c r="AJ4" s="5"/>
      <c r="AK4" s="6"/>
      <c r="AL4" s="6"/>
      <c r="AM4" s="6"/>
      <c r="AN4" s="1"/>
      <c r="AO4" s="1"/>
      <c r="AQ4" s="2" t="s">
        <v>10</v>
      </c>
    </row>
    <row r="5" customFormat="false" ht="15.75" hidden="false" customHeight="true" outlineLevel="0" collapsed="false">
      <c r="A5" s="1"/>
      <c r="B5" s="7" t="s">
        <v>11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4" t="s">
        <v>12</v>
      </c>
      <c r="AJ5" s="4"/>
      <c r="AK5" s="1"/>
      <c r="AL5" s="1"/>
      <c r="AM5" s="1"/>
      <c r="AN5" s="1"/>
      <c r="AO5" s="1" t="s">
        <v>12</v>
      </c>
      <c r="AP5" s="2" t="n">
        <f aca="false">AI6</f>
        <v>0</v>
      </c>
      <c r="AQ5" s="2" t="s">
        <v>13</v>
      </c>
    </row>
    <row r="6" customFormat="false" ht="15.75" hidden="false" customHeight="true" outlineLevel="0" collapsed="false">
      <c r="A6" s="1"/>
      <c r="B6" s="8" t="s">
        <v>14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5" t="n">
        <f aca="false">SUMPRODUCT(($B$17:$B$28&lt;&gt;"")*($C$17:$AG$28=TRUE()))</f>
        <v>0</v>
      </c>
      <c r="AJ6" s="5"/>
      <c r="AK6" s="1"/>
      <c r="AL6" s="1"/>
      <c r="AM6" s="1"/>
      <c r="AN6" s="1"/>
      <c r="AO6" s="1" t="s">
        <v>15</v>
      </c>
      <c r="AP6" s="2" t="n">
        <f aca="false">AI9</f>
        <v>280</v>
      </c>
      <c r="AQ6" s="2" t="s">
        <v>16</v>
      </c>
    </row>
    <row r="7" customFormat="false" ht="15.75" hidden="false" customHeight="true" outlineLevel="0" collapsed="false">
      <c r="A7" s="1"/>
      <c r="B7" s="30" t="n">
        <f aca="false">January!$B$7</f>
        <v>2026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5"/>
      <c r="AJ7" s="5"/>
      <c r="AK7" s="1"/>
      <c r="AL7" s="1"/>
      <c r="AM7" s="1"/>
      <c r="AN7" s="1"/>
      <c r="AO7" s="1"/>
      <c r="AQ7" s="2" t="s">
        <v>17</v>
      </c>
    </row>
    <row r="8" customFormat="false" ht="15.75" hidden="false" customHeight="true" outlineLevel="0" collapsed="false">
      <c r="A8" s="1"/>
      <c r="B8" s="8" t="s">
        <v>18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4" t="s">
        <v>15</v>
      </c>
      <c r="AJ8" s="4"/>
      <c r="AK8" s="1"/>
      <c r="AL8" s="1"/>
      <c r="AM8" s="1"/>
      <c r="AN8" s="1"/>
      <c r="AO8" s="1" t="s">
        <v>19</v>
      </c>
      <c r="AP8" s="2" t="n">
        <f aca="false">IF(OR(COUNTIF(C$16:I$16,"&gt;0")=0,SUMPRODUCT(--(LEN($B$17:$B$28)&gt;0))=0),0,SUMPRODUCT(($B$17:$B$28&lt;&gt;"")*(C$17:I$28=TRUE()))/(SUMPRODUCT(--(LEN($B$17:$B$28)&gt;0))*COUNTIF(C$16:I$16,"&gt;0")))</f>
        <v>0</v>
      </c>
      <c r="AQ8" s="2" t="s">
        <v>20</v>
      </c>
    </row>
    <row r="9" customFormat="false" ht="15.75" hidden="false" customHeight="true" outlineLevel="0" collapsed="false">
      <c r="A9" s="1"/>
      <c r="B9" s="9" t="s">
        <v>7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5" t="n">
        <f aca="false">AI3-AI6</f>
        <v>280</v>
      </c>
      <c r="AJ9" s="5"/>
      <c r="AK9" s="1"/>
      <c r="AL9" s="1"/>
      <c r="AM9" s="1"/>
      <c r="AN9" s="1"/>
      <c r="AO9" s="1" t="s">
        <v>21</v>
      </c>
      <c r="AP9" s="2" t="n">
        <f aca="false">IF(OR(COUNTIF(J$16:P$16,"&gt;0")=0,SUMPRODUCT(--(LEN($B$17:$B$28)&gt;0))=0),0,SUMPRODUCT(($B$17:$B$28&lt;&gt;"")*(J$17:P$28=TRUE()))/(SUMPRODUCT(--(LEN($B$17:$B$28)&gt;0))*COUNTIF(J$16:P$16,"&gt;0")))</f>
        <v>0</v>
      </c>
      <c r="AQ9" s="2" t="s">
        <v>22</v>
      </c>
    </row>
    <row r="10" customFormat="false" ht="15.75" hidden="false" customHeight="true" outlineLevel="0" collapsed="false">
      <c r="A10" s="1"/>
      <c r="B10" s="10" t="s">
        <v>23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5"/>
      <c r="AJ10" s="5"/>
      <c r="AK10" s="1"/>
      <c r="AL10" s="1"/>
      <c r="AM10" s="1"/>
      <c r="AN10" s="1"/>
      <c r="AO10" s="1" t="s">
        <v>24</v>
      </c>
      <c r="AP10" s="2" t="n">
        <f aca="false">IF(OR(COUNTIF(Q$16:W$16,"&gt;0")=0,SUMPRODUCT(--(LEN($B$17:$B$28)&gt;0))=0),0,SUMPRODUCT(($B$17:$B$28&lt;&gt;"")*(Q$17:W$28=TRUE()))/(SUMPRODUCT(--(LEN($B$17:$B$28)&gt;0))*COUNTIF(Q$16:W$16,"&gt;0")))</f>
        <v>0</v>
      </c>
      <c r="AQ10" s="2" t="s">
        <v>25</v>
      </c>
    </row>
    <row r="11" customFormat="false" ht="15.75" hidden="false" customHeight="true" outlineLevel="0" collapsed="false">
      <c r="A11" s="1"/>
      <c r="B11" s="10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 t="s">
        <v>26</v>
      </c>
      <c r="AP11" s="2" t="n">
        <f aca="false">IF(OR(COUNTIF(X$16:AD$16,"&gt;0")=0,SUMPRODUCT(--(LEN($B$17:$B$28)&gt;0))=0),0,SUMPRODUCT(($B$17:$B$28&lt;&gt;"")*(X$17:AD$28=TRUE()))/(SUMPRODUCT(--(LEN($B$17:$B$28)&gt;0))*COUNTIF(X$16:AD$16,"&gt;0")))</f>
        <v>0</v>
      </c>
      <c r="AQ11" s="2" t="s">
        <v>27</v>
      </c>
    </row>
    <row r="12" customFormat="false" ht="15.75" hidden="false" customHeight="true" outlineLevel="0" collapsed="false">
      <c r="A12" s="1"/>
      <c r="B12" s="10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 t="s">
        <v>28</v>
      </c>
      <c r="AP12" s="2" t="n">
        <f aca="false">IF(OR(COUNTIF(AE$16:AG$16,"&gt;0")=0,SUMPRODUCT(--(LEN($B$17:$B$28)&gt;0))=0),0,SUMPRODUCT(($B$17:$B$28&lt;&gt;"")*(AE$17:AG$28=TRUE()))/(SUMPRODUCT(--(LEN($B$17:$B$28)&gt;0))*COUNTIF(AE$16:AG$16,"&gt;0")))</f>
        <v>0</v>
      </c>
      <c r="AQ12" s="2" t="s">
        <v>29</v>
      </c>
    </row>
    <row r="13" customFormat="false" ht="15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</row>
    <row r="14" customFormat="false" ht="15" hidden="false" customHeight="false" outlineLevel="0" collapsed="false">
      <c r="A14" s="1"/>
      <c r="B14" s="11" t="s">
        <v>30</v>
      </c>
      <c r="C14" s="12" t="s">
        <v>19</v>
      </c>
      <c r="D14" s="12"/>
      <c r="E14" s="12"/>
      <c r="F14" s="12"/>
      <c r="G14" s="12"/>
      <c r="H14" s="12"/>
      <c r="I14" s="12"/>
      <c r="J14" s="12" t="s">
        <v>21</v>
      </c>
      <c r="K14" s="12"/>
      <c r="L14" s="12"/>
      <c r="M14" s="12"/>
      <c r="N14" s="12"/>
      <c r="O14" s="12"/>
      <c r="P14" s="12"/>
      <c r="Q14" s="12" t="s">
        <v>24</v>
      </c>
      <c r="R14" s="12"/>
      <c r="S14" s="12"/>
      <c r="T14" s="12"/>
      <c r="U14" s="12"/>
      <c r="V14" s="12"/>
      <c r="W14" s="12"/>
      <c r="X14" s="12" t="s">
        <v>26</v>
      </c>
      <c r="Y14" s="12"/>
      <c r="Z14" s="12"/>
      <c r="AA14" s="12"/>
      <c r="AB14" s="12"/>
      <c r="AC14" s="12"/>
      <c r="AD14" s="12"/>
      <c r="AE14" s="12" t="s">
        <v>28</v>
      </c>
      <c r="AF14" s="12"/>
      <c r="AG14" s="12"/>
      <c r="AH14" s="1"/>
      <c r="AI14" s="13" t="s">
        <v>31</v>
      </c>
      <c r="AJ14" s="13"/>
      <c r="AK14" s="13"/>
      <c r="AL14" s="13"/>
      <c r="AM14" s="13"/>
      <c r="AN14" s="1"/>
      <c r="AO14" s="1"/>
    </row>
    <row r="15" customFormat="false" ht="15" hidden="false" customHeight="false" outlineLevel="0" collapsed="false">
      <c r="A15" s="1"/>
      <c r="B15" s="11"/>
      <c r="C15" s="14" t="str">
        <f aca="false">IF(1&gt;$AP$3,"",CHOOSE(WEEKDAY(DATE($B$7,$AP$2,1)),"Su","Mo","Tu","We","Th","Fr","Sa"))</f>
        <v>Su</v>
      </c>
      <c r="D15" s="14" t="str">
        <f aca="false">IF(2&gt;$AP$3,"",CHOOSE(WEEKDAY(DATE($B$7,$AP$2,2)),"Su","Mo","Tu","We","Th","Fr","Sa"))</f>
        <v>Mo</v>
      </c>
      <c r="E15" s="14" t="str">
        <f aca="false">IF(3&gt;$AP$3,"",CHOOSE(WEEKDAY(DATE($B$7,$AP$2,3)),"Su","Mo","Tu","We","Th","Fr","Sa"))</f>
        <v>Tu</v>
      </c>
      <c r="F15" s="14" t="str">
        <f aca="false">IF(4&gt;$AP$3,"",CHOOSE(WEEKDAY(DATE($B$7,$AP$2,4)),"Su","Mo","Tu","We","Th","Fr","Sa"))</f>
        <v>We</v>
      </c>
      <c r="G15" s="14" t="str">
        <f aca="false">IF(5&gt;$AP$3,"",CHOOSE(WEEKDAY(DATE($B$7,$AP$2,5)),"Su","Mo","Tu","We","Th","Fr","Sa"))</f>
        <v>Th</v>
      </c>
      <c r="H15" s="14" t="str">
        <f aca="false">IF(6&gt;$AP$3,"",CHOOSE(WEEKDAY(DATE($B$7,$AP$2,6)),"Su","Mo","Tu","We","Th","Fr","Sa"))</f>
        <v>Fr</v>
      </c>
      <c r="I15" s="14" t="str">
        <f aca="false">IF(7&gt;$AP$3,"",CHOOSE(WEEKDAY(DATE($B$7,$AP$2,7)),"Su","Mo","Tu","We","Th","Fr","Sa"))</f>
        <v>Sa</v>
      </c>
      <c r="J15" s="14" t="str">
        <f aca="false">IF(8&gt;$AP$3,"",CHOOSE(WEEKDAY(DATE($B$7,$AP$2,8)),"Su","Mo","Tu","We","Th","Fr","Sa"))</f>
        <v>Su</v>
      </c>
      <c r="K15" s="14" t="str">
        <f aca="false">IF(9&gt;$AP$3,"",CHOOSE(WEEKDAY(DATE($B$7,$AP$2,9)),"Su","Mo","Tu","We","Th","Fr","Sa"))</f>
        <v>Mo</v>
      </c>
      <c r="L15" s="14" t="str">
        <f aca="false">IF(10&gt;$AP$3,"",CHOOSE(WEEKDAY(DATE($B$7,$AP$2,10)),"Su","Mo","Tu","We","Th","Fr","Sa"))</f>
        <v>Tu</v>
      </c>
      <c r="M15" s="14" t="str">
        <f aca="false">IF(11&gt;$AP$3,"",CHOOSE(WEEKDAY(DATE($B$7,$AP$2,11)),"Su","Mo","Tu","We","Th","Fr","Sa"))</f>
        <v>We</v>
      </c>
      <c r="N15" s="14" t="str">
        <f aca="false">IF(12&gt;$AP$3,"",CHOOSE(WEEKDAY(DATE($B$7,$AP$2,12)),"Su","Mo","Tu","We","Th","Fr","Sa"))</f>
        <v>Th</v>
      </c>
      <c r="O15" s="14" t="str">
        <f aca="false">IF(13&gt;$AP$3,"",CHOOSE(WEEKDAY(DATE($B$7,$AP$2,13)),"Su","Mo","Tu","We","Th","Fr","Sa"))</f>
        <v>Fr</v>
      </c>
      <c r="P15" s="14" t="str">
        <f aca="false">IF(14&gt;$AP$3,"",CHOOSE(WEEKDAY(DATE($B$7,$AP$2,14)),"Su","Mo","Tu","We","Th","Fr","Sa"))</f>
        <v>Sa</v>
      </c>
      <c r="Q15" s="14" t="str">
        <f aca="false">IF(15&gt;$AP$3,"",CHOOSE(WEEKDAY(DATE($B$7,$AP$2,15)),"Su","Mo","Tu","We","Th","Fr","Sa"))</f>
        <v>Su</v>
      </c>
      <c r="R15" s="14" t="str">
        <f aca="false">IF(16&gt;$AP$3,"",CHOOSE(WEEKDAY(DATE($B$7,$AP$2,16)),"Su","Mo","Tu","We","Th","Fr","Sa"))</f>
        <v>Mo</v>
      </c>
      <c r="S15" s="14" t="str">
        <f aca="false">IF(17&gt;$AP$3,"",CHOOSE(WEEKDAY(DATE($B$7,$AP$2,17)),"Su","Mo","Tu","We","Th","Fr","Sa"))</f>
        <v>Tu</v>
      </c>
      <c r="T15" s="14" t="str">
        <f aca="false">IF(18&gt;$AP$3,"",CHOOSE(WEEKDAY(DATE($B$7,$AP$2,18)),"Su","Mo","Tu","We","Th","Fr","Sa"))</f>
        <v>We</v>
      </c>
      <c r="U15" s="14" t="str">
        <f aca="false">IF(19&gt;$AP$3,"",CHOOSE(WEEKDAY(DATE($B$7,$AP$2,19)),"Su","Mo","Tu","We","Th","Fr","Sa"))</f>
        <v>Th</v>
      </c>
      <c r="V15" s="14" t="str">
        <f aca="false">IF(20&gt;$AP$3,"",CHOOSE(WEEKDAY(DATE($B$7,$AP$2,20)),"Su","Mo","Tu","We","Th","Fr","Sa"))</f>
        <v>Fr</v>
      </c>
      <c r="W15" s="14" t="str">
        <f aca="false">IF(21&gt;$AP$3,"",CHOOSE(WEEKDAY(DATE($B$7,$AP$2,21)),"Su","Mo","Tu","We","Th","Fr","Sa"))</f>
        <v>Sa</v>
      </c>
      <c r="X15" s="14" t="str">
        <f aca="false">IF(22&gt;$AP$3,"",CHOOSE(WEEKDAY(DATE($B$7,$AP$2,22)),"Su","Mo","Tu","We","Th","Fr","Sa"))</f>
        <v>Su</v>
      </c>
      <c r="Y15" s="14" t="str">
        <f aca="false">IF(23&gt;$AP$3,"",CHOOSE(WEEKDAY(DATE($B$7,$AP$2,23)),"Su","Mo","Tu","We","Th","Fr","Sa"))</f>
        <v>Mo</v>
      </c>
      <c r="Z15" s="14" t="str">
        <f aca="false">IF(24&gt;$AP$3,"",CHOOSE(WEEKDAY(DATE($B$7,$AP$2,24)),"Su","Mo","Tu","We","Th","Fr","Sa"))</f>
        <v>Tu</v>
      </c>
      <c r="AA15" s="14" t="str">
        <f aca="false">IF(25&gt;$AP$3,"",CHOOSE(WEEKDAY(DATE($B$7,$AP$2,25)),"Su","Mo","Tu","We","Th","Fr","Sa"))</f>
        <v>We</v>
      </c>
      <c r="AB15" s="14" t="str">
        <f aca="false">IF(26&gt;$AP$3,"",CHOOSE(WEEKDAY(DATE($B$7,$AP$2,26)),"Su","Mo","Tu","We","Th","Fr","Sa"))</f>
        <v>Th</v>
      </c>
      <c r="AC15" s="14" t="str">
        <f aca="false">IF(27&gt;$AP$3,"",CHOOSE(WEEKDAY(DATE($B$7,$AP$2,27)),"Su","Mo","Tu","We","Th","Fr","Sa"))</f>
        <v>Fr</v>
      </c>
      <c r="AD15" s="14" t="str">
        <f aca="false">IF(28&gt;$AP$3,"",CHOOSE(WEEKDAY(DATE($B$7,$AP$2,28)),"Su","Mo","Tu","We","Th","Fr","Sa"))</f>
        <v>Sa</v>
      </c>
      <c r="AE15" s="14" t="str">
        <f aca="false">IF(29&gt;$AP$3,"",CHOOSE(WEEKDAY(DATE($B$7,$AP$2,29)),"Su","Mo","Tu","We","Th","Fr","Sa"))</f>
        <v/>
      </c>
      <c r="AF15" s="14" t="str">
        <f aca="false">IF(30&gt;$AP$3,"",CHOOSE(WEEKDAY(DATE($B$7,$AP$2,30)),"Su","Mo","Tu","We","Th","Fr","Sa"))</f>
        <v/>
      </c>
      <c r="AG15" s="14" t="str">
        <f aca="false">IF(31&gt;$AP$3,"",CHOOSE(WEEKDAY(DATE($B$7,$AP$2,31)),"Su","Mo","Tu","We","Th","Fr","Sa"))</f>
        <v/>
      </c>
      <c r="AH15" s="1"/>
      <c r="AI15" s="13"/>
      <c r="AJ15" s="13"/>
      <c r="AK15" s="13"/>
      <c r="AL15" s="13"/>
      <c r="AM15" s="13"/>
      <c r="AN15" s="1"/>
      <c r="AO15" s="1"/>
    </row>
    <row r="16" customFormat="false" ht="15" hidden="false" customHeight="false" outlineLevel="0" collapsed="false">
      <c r="A16" s="1"/>
      <c r="B16" s="11"/>
      <c r="C16" s="14" t="n">
        <f aca="false">IF(1&gt;$AP$3,"",1)</f>
        <v>1</v>
      </c>
      <c r="D16" s="14" t="n">
        <f aca="false">IF(2&gt;$AP$3,"",2)</f>
        <v>2</v>
      </c>
      <c r="E16" s="14" t="n">
        <f aca="false">IF(3&gt;$AP$3,"",3)</f>
        <v>3</v>
      </c>
      <c r="F16" s="14" t="n">
        <f aca="false">IF(4&gt;$AP$3,"",4)</f>
        <v>4</v>
      </c>
      <c r="G16" s="14" t="n">
        <f aca="false">IF(5&gt;$AP$3,"",5)</f>
        <v>5</v>
      </c>
      <c r="H16" s="14" t="n">
        <f aca="false">IF(6&gt;$AP$3,"",6)</f>
        <v>6</v>
      </c>
      <c r="I16" s="14" t="n">
        <f aca="false">IF(7&gt;$AP$3,"",7)</f>
        <v>7</v>
      </c>
      <c r="J16" s="14" t="n">
        <f aca="false">IF(8&gt;$AP$3,"",8)</f>
        <v>8</v>
      </c>
      <c r="K16" s="14" t="n">
        <f aca="false">IF(9&gt;$AP$3,"",9)</f>
        <v>9</v>
      </c>
      <c r="L16" s="14" t="n">
        <f aca="false">IF(10&gt;$AP$3,"",10)</f>
        <v>10</v>
      </c>
      <c r="M16" s="14" t="n">
        <f aca="false">IF(11&gt;$AP$3,"",11)</f>
        <v>11</v>
      </c>
      <c r="N16" s="14" t="n">
        <f aca="false">IF(12&gt;$AP$3,"",12)</f>
        <v>12</v>
      </c>
      <c r="O16" s="14" t="n">
        <f aca="false">IF(13&gt;$AP$3,"",13)</f>
        <v>13</v>
      </c>
      <c r="P16" s="14" t="n">
        <f aca="false">IF(14&gt;$AP$3,"",14)</f>
        <v>14</v>
      </c>
      <c r="Q16" s="14" t="n">
        <f aca="false">IF(15&gt;$AP$3,"",15)</f>
        <v>15</v>
      </c>
      <c r="R16" s="14" t="n">
        <f aca="false">IF(16&gt;$AP$3,"",16)</f>
        <v>16</v>
      </c>
      <c r="S16" s="14" t="n">
        <f aca="false">IF(17&gt;$AP$3,"",17)</f>
        <v>17</v>
      </c>
      <c r="T16" s="14" t="n">
        <f aca="false">IF(18&gt;$AP$3,"",18)</f>
        <v>18</v>
      </c>
      <c r="U16" s="14" t="n">
        <f aca="false">IF(19&gt;$AP$3,"",19)</f>
        <v>19</v>
      </c>
      <c r="V16" s="14" t="n">
        <f aca="false">IF(20&gt;$AP$3,"",20)</f>
        <v>20</v>
      </c>
      <c r="W16" s="14" t="n">
        <f aca="false">IF(21&gt;$AP$3,"",21)</f>
        <v>21</v>
      </c>
      <c r="X16" s="14" t="n">
        <f aca="false">IF(22&gt;$AP$3,"",22)</f>
        <v>22</v>
      </c>
      <c r="Y16" s="14" t="n">
        <f aca="false">IF(23&gt;$AP$3,"",23)</f>
        <v>23</v>
      </c>
      <c r="Z16" s="14" t="n">
        <f aca="false">IF(24&gt;$AP$3,"",24)</f>
        <v>24</v>
      </c>
      <c r="AA16" s="14" t="n">
        <f aca="false">IF(25&gt;$AP$3,"",25)</f>
        <v>25</v>
      </c>
      <c r="AB16" s="14" t="n">
        <f aca="false">IF(26&gt;$AP$3,"",26)</f>
        <v>26</v>
      </c>
      <c r="AC16" s="14" t="n">
        <f aca="false">IF(27&gt;$AP$3,"",27)</f>
        <v>27</v>
      </c>
      <c r="AD16" s="14" t="n">
        <f aca="false">IF(28&gt;$AP$3,"",28)</f>
        <v>28</v>
      </c>
      <c r="AE16" s="14" t="str">
        <f aca="false">IF(29&gt;$AP$3,"",29)</f>
        <v/>
      </c>
      <c r="AF16" s="14" t="str">
        <f aca="false">IF(30&gt;$AP$3,"",30)</f>
        <v/>
      </c>
      <c r="AG16" s="14" t="str">
        <f aca="false">IF(31&gt;$AP$3,"",31)</f>
        <v/>
      </c>
      <c r="AH16" s="1"/>
      <c r="AI16" s="15" t="s">
        <v>4</v>
      </c>
      <c r="AJ16" s="15" t="s">
        <v>32</v>
      </c>
      <c r="AK16" s="15" t="s">
        <v>15</v>
      </c>
      <c r="AL16" s="15" t="s">
        <v>33</v>
      </c>
      <c r="AM16" s="15" t="s">
        <v>34</v>
      </c>
      <c r="AN16" s="1"/>
      <c r="AO16" s="1"/>
    </row>
    <row r="17" customFormat="false" ht="18" hidden="false" customHeight="true" outlineLevel="0" collapsed="false">
      <c r="A17" s="1"/>
      <c r="B17" s="16" t="s">
        <v>35</v>
      </c>
      <c r="C17" s="17" t="b">
        <f aca="false">FALSE()</f>
        <v>0</v>
      </c>
      <c r="D17" s="17" t="b">
        <f aca="false">FALSE()</f>
        <v>0</v>
      </c>
      <c r="E17" s="17" t="b">
        <f aca="false">FALSE()</f>
        <v>0</v>
      </c>
      <c r="F17" s="17" t="b">
        <f aca="false">FALSE()</f>
        <v>0</v>
      </c>
      <c r="G17" s="17" t="b">
        <f aca="false">FALSE()</f>
        <v>0</v>
      </c>
      <c r="H17" s="17" t="b">
        <f aca="false">FALSE()</f>
        <v>0</v>
      </c>
      <c r="I17" s="17" t="b">
        <f aca="false">FALSE()</f>
        <v>0</v>
      </c>
      <c r="J17" s="17" t="b">
        <f aca="false">FALSE()</f>
        <v>0</v>
      </c>
      <c r="K17" s="17" t="b">
        <f aca="false">FALSE()</f>
        <v>0</v>
      </c>
      <c r="L17" s="17" t="b">
        <f aca="false">FALSE()</f>
        <v>0</v>
      </c>
      <c r="M17" s="17" t="b">
        <f aca="false">FALSE()</f>
        <v>0</v>
      </c>
      <c r="N17" s="17" t="b">
        <f aca="false">FALSE()</f>
        <v>0</v>
      </c>
      <c r="O17" s="17" t="b">
        <f aca="false">FALSE()</f>
        <v>0</v>
      </c>
      <c r="P17" s="17" t="b">
        <f aca="false">FALSE()</f>
        <v>0</v>
      </c>
      <c r="Q17" s="17" t="b">
        <f aca="false">FALSE()</f>
        <v>0</v>
      </c>
      <c r="R17" s="17" t="b">
        <f aca="false">FALSE()</f>
        <v>0</v>
      </c>
      <c r="S17" s="17" t="b">
        <f aca="false">FALSE()</f>
        <v>0</v>
      </c>
      <c r="T17" s="17" t="b">
        <f aca="false">FALSE()</f>
        <v>0</v>
      </c>
      <c r="U17" s="17" t="b">
        <f aca="false">FALSE()</f>
        <v>0</v>
      </c>
      <c r="V17" s="17" t="b">
        <f aca="false">FALSE()</f>
        <v>0</v>
      </c>
      <c r="W17" s="17" t="b">
        <f aca="false">FALSE()</f>
        <v>0</v>
      </c>
      <c r="X17" s="17" t="b">
        <f aca="false">FALSE()</f>
        <v>0</v>
      </c>
      <c r="Y17" s="17" t="b">
        <f aca="false">FALSE()</f>
        <v>0</v>
      </c>
      <c r="Z17" s="17" t="b">
        <f aca="false">FALSE()</f>
        <v>0</v>
      </c>
      <c r="AA17" s="17" t="b">
        <f aca="false">FALSE()</f>
        <v>0</v>
      </c>
      <c r="AB17" s="17" t="b">
        <f aca="false">FALSE()</f>
        <v>0</v>
      </c>
      <c r="AC17" s="17" t="b">
        <f aca="false">FALSE()</f>
        <v>0</v>
      </c>
      <c r="AD17" s="17" t="b">
        <f aca="false">FALSE()</f>
        <v>0</v>
      </c>
      <c r="AE17" s="17" t="b">
        <f aca="false">FALSE()</f>
        <v>0</v>
      </c>
      <c r="AF17" s="17" t="b">
        <f aca="false">FALSE()</f>
        <v>0</v>
      </c>
      <c r="AG17" s="17" t="b">
        <f aca="false">FALSE()</f>
        <v>0</v>
      </c>
      <c r="AH17" s="1"/>
      <c r="AI17" s="18" t="n">
        <f aca="false">IF($B17="","",$AP$3)</f>
        <v>28</v>
      </c>
      <c r="AJ17" s="18" t="n">
        <f aca="false">IF($B17="","",COUNTIF(C17:AG17,TRUE()))</f>
        <v>0</v>
      </c>
      <c r="AK17" s="18" t="n">
        <f aca="false">IF($B17="","",AI17-AJ17)</f>
        <v>28</v>
      </c>
      <c r="AL17" s="19" t="n">
        <f aca="false">IF($B17="","",AJ17/AI17)</f>
        <v>0</v>
      </c>
      <c r="AM17" s="20" t="n">
        <f aca="false">IF($B17="","",AJ17/AI17)</f>
        <v>0</v>
      </c>
      <c r="AN17" s="21" t="n">
        <f aca="false">IF($B17="",-1,AM17-ROW()/100000)</f>
        <v>-0.00017</v>
      </c>
      <c r="AO17" s="1"/>
    </row>
    <row r="18" customFormat="false" ht="18" hidden="false" customHeight="true" outlineLevel="0" collapsed="false">
      <c r="A18" s="1"/>
      <c r="B18" s="16" t="s">
        <v>36</v>
      </c>
      <c r="C18" s="17" t="b">
        <f aca="false">FALSE()</f>
        <v>0</v>
      </c>
      <c r="D18" s="17" t="b">
        <f aca="false">FALSE()</f>
        <v>0</v>
      </c>
      <c r="E18" s="17" t="b">
        <f aca="false">FALSE()</f>
        <v>0</v>
      </c>
      <c r="F18" s="17" t="b">
        <f aca="false">FALSE()</f>
        <v>0</v>
      </c>
      <c r="G18" s="17" t="b">
        <f aca="false">FALSE()</f>
        <v>0</v>
      </c>
      <c r="H18" s="17" t="b">
        <f aca="false">FALSE()</f>
        <v>0</v>
      </c>
      <c r="I18" s="17" t="b">
        <f aca="false">FALSE()</f>
        <v>0</v>
      </c>
      <c r="J18" s="17" t="b">
        <f aca="false">FALSE()</f>
        <v>0</v>
      </c>
      <c r="K18" s="17" t="b">
        <f aca="false">FALSE()</f>
        <v>0</v>
      </c>
      <c r="L18" s="17" t="b">
        <f aca="false">FALSE()</f>
        <v>0</v>
      </c>
      <c r="M18" s="17" t="b">
        <f aca="false">FALSE()</f>
        <v>0</v>
      </c>
      <c r="N18" s="17" t="b">
        <f aca="false">FALSE()</f>
        <v>0</v>
      </c>
      <c r="O18" s="17" t="b">
        <f aca="false">FALSE()</f>
        <v>0</v>
      </c>
      <c r="P18" s="17" t="b">
        <f aca="false">FALSE()</f>
        <v>0</v>
      </c>
      <c r="Q18" s="17" t="b">
        <f aca="false">FALSE()</f>
        <v>0</v>
      </c>
      <c r="R18" s="17" t="b">
        <f aca="false">FALSE()</f>
        <v>0</v>
      </c>
      <c r="S18" s="17" t="b">
        <f aca="false">FALSE()</f>
        <v>0</v>
      </c>
      <c r="T18" s="17" t="b">
        <f aca="false">FALSE()</f>
        <v>0</v>
      </c>
      <c r="U18" s="17" t="b">
        <f aca="false">FALSE()</f>
        <v>0</v>
      </c>
      <c r="V18" s="17" t="b">
        <f aca="false">FALSE()</f>
        <v>0</v>
      </c>
      <c r="W18" s="17" t="b">
        <f aca="false">FALSE()</f>
        <v>0</v>
      </c>
      <c r="X18" s="17" t="b">
        <f aca="false">FALSE()</f>
        <v>0</v>
      </c>
      <c r="Y18" s="17" t="b">
        <f aca="false">FALSE()</f>
        <v>0</v>
      </c>
      <c r="Z18" s="17" t="b">
        <f aca="false">FALSE()</f>
        <v>0</v>
      </c>
      <c r="AA18" s="17" t="b">
        <f aca="false">FALSE()</f>
        <v>0</v>
      </c>
      <c r="AB18" s="17" t="b">
        <f aca="false">FALSE()</f>
        <v>0</v>
      </c>
      <c r="AC18" s="17" t="b">
        <f aca="false">FALSE()</f>
        <v>0</v>
      </c>
      <c r="AD18" s="17" t="b">
        <f aca="false">FALSE()</f>
        <v>0</v>
      </c>
      <c r="AE18" s="17" t="b">
        <f aca="false">FALSE()</f>
        <v>0</v>
      </c>
      <c r="AF18" s="17" t="b">
        <f aca="false">FALSE()</f>
        <v>0</v>
      </c>
      <c r="AG18" s="17" t="b">
        <f aca="false">FALSE()</f>
        <v>0</v>
      </c>
      <c r="AH18" s="1"/>
      <c r="AI18" s="18" t="n">
        <f aca="false">IF($B18="","",$AP$3)</f>
        <v>28</v>
      </c>
      <c r="AJ18" s="18" t="n">
        <f aca="false">IF($B18="","",COUNTIF(C18:AG18,TRUE()))</f>
        <v>0</v>
      </c>
      <c r="AK18" s="18" t="n">
        <f aca="false">IF($B18="","",AI18-AJ18)</f>
        <v>28</v>
      </c>
      <c r="AL18" s="19" t="n">
        <f aca="false">IF($B18="","",AJ18/AI18)</f>
        <v>0</v>
      </c>
      <c r="AM18" s="20" t="n">
        <f aca="false">IF($B18="","",AJ18/AI18)</f>
        <v>0</v>
      </c>
      <c r="AN18" s="21" t="n">
        <f aca="false">IF($B18="",-1,AM18-ROW()/100000)</f>
        <v>-0.00018</v>
      </c>
      <c r="AO18" s="1"/>
    </row>
    <row r="19" customFormat="false" ht="18" hidden="false" customHeight="true" outlineLevel="0" collapsed="false">
      <c r="A19" s="1"/>
      <c r="B19" s="16" t="s">
        <v>37</v>
      </c>
      <c r="C19" s="17" t="b">
        <f aca="false">FALSE()</f>
        <v>0</v>
      </c>
      <c r="D19" s="17" t="b">
        <f aca="false">FALSE()</f>
        <v>0</v>
      </c>
      <c r="E19" s="17" t="b">
        <f aca="false">FALSE()</f>
        <v>0</v>
      </c>
      <c r="F19" s="17" t="b">
        <f aca="false">FALSE()</f>
        <v>0</v>
      </c>
      <c r="G19" s="17" t="b">
        <f aca="false">FALSE()</f>
        <v>0</v>
      </c>
      <c r="H19" s="17" t="b">
        <f aca="false">FALSE()</f>
        <v>0</v>
      </c>
      <c r="I19" s="17" t="b">
        <f aca="false">FALSE()</f>
        <v>0</v>
      </c>
      <c r="J19" s="17" t="b">
        <f aca="false">FALSE()</f>
        <v>0</v>
      </c>
      <c r="K19" s="17" t="b">
        <f aca="false">FALSE()</f>
        <v>0</v>
      </c>
      <c r="L19" s="17" t="b">
        <f aca="false">FALSE()</f>
        <v>0</v>
      </c>
      <c r="M19" s="17" t="b">
        <f aca="false">FALSE()</f>
        <v>0</v>
      </c>
      <c r="N19" s="17" t="b">
        <f aca="false">FALSE()</f>
        <v>0</v>
      </c>
      <c r="O19" s="17" t="b">
        <f aca="false">FALSE()</f>
        <v>0</v>
      </c>
      <c r="P19" s="17" t="b">
        <f aca="false">FALSE()</f>
        <v>0</v>
      </c>
      <c r="Q19" s="17" t="b">
        <f aca="false">FALSE()</f>
        <v>0</v>
      </c>
      <c r="R19" s="17" t="b">
        <f aca="false">FALSE()</f>
        <v>0</v>
      </c>
      <c r="S19" s="17" t="b">
        <f aca="false">FALSE()</f>
        <v>0</v>
      </c>
      <c r="T19" s="17" t="b">
        <f aca="false">FALSE()</f>
        <v>0</v>
      </c>
      <c r="U19" s="17" t="b">
        <f aca="false">FALSE()</f>
        <v>0</v>
      </c>
      <c r="V19" s="17" t="b">
        <f aca="false">FALSE()</f>
        <v>0</v>
      </c>
      <c r="W19" s="17" t="b">
        <f aca="false">FALSE()</f>
        <v>0</v>
      </c>
      <c r="X19" s="17" t="b">
        <f aca="false">FALSE()</f>
        <v>0</v>
      </c>
      <c r="Y19" s="17" t="b">
        <f aca="false">FALSE()</f>
        <v>0</v>
      </c>
      <c r="Z19" s="17" t="b">
        <f aca="false">FALSE()</f>
        <v>0</v>
      </c>
      <c r="AA19" s="17" t="b">
        <f aca="false">FALSE()</f>
        <v>0</v>
      </c>
      <c r="AB19" s="17" t="b">
        <f aca="false">FALSE()</f>
        <v>0</v>
      </c>
      <c r="AC19" s="17" t="b">
        <f aca="false">FALSE()</f>
        <v>0</v>
      </c>
      <c r="AD19" s="17" t="b">
        <f aca="false">FALSE()</f>
        <v>0</v>
      </c>
      <c r="AE19" s="17" t="b">
        <f aca="false">FALSE()</f>
        <v>0</v>
      </c>
      <c r="AF19" s="17" t="b">
        <f aca="false">FALSE()</f>
        <v>0</v>
      </c>
      <c r="AG19" s="17" t="b">
        <f aca="false">FALSE()</f>
        <v>0</v>
      </c>
      <c r="AH19" s="1"/>
      <c r="AI19" s="18" t="n">
        <f aca="false">IF($B19="","",$AP$3)</f>
        <v>28</v>
      </c>
      <c r="AJ19" s="18" t="n">
        <f aca="false">IF($B19="","",COUNTIF(C19:AG19,TRUE()))</f>
        <v>0</v>
      </c>
      <c r="AK19" s="18" t="n">
        <f aca="false">IF($B19="","",AI19-AJ19)</f>
        <v>28</v>
      </c>
      <c r="AL19" s="19" t="n">
        <f aca="false">IF($B19="","",AJ19/AI19)</f>
        <v>0</v>
      </c>
      <c r="AM19" s="20" t="n">
        <f aca="false">IF($B19="","",AJ19/AI19)</f>
        <v>0</v>
      </c>
      <c r="AN19" s="21" t="n">
        <f aca="false">IF($B19="",-1,AM19-ROW()/100000)</f>
        <v>-0.00019</v>
      </c>
      <c r="AO19" s="1"/>
    </row>
    <row r="20" customFormat="false" ht="18" hidden="false" customHeight="true" outlineLevel="0" collapsed="false">
      <c r="A20" s="1"/>
      <c r="B20" s="16" t="s">
        <v>38</v>
      </c>
      <c r="C20" s="17" t="b">
        <f aca="false">FALSE()</f>
        <v>0</v>
      </c>
      <c r="D20" s="17" t="b">
        <f aca="false">FALSE()</f>
        <v>0</v>
      </c>
      <c r="E20" s="17" t="b">
        <f aca="false">FALSE()</f>
        <v>0</v>
      </c>
      <c r="F20" s="17" t="b">
        <f aca="false">FALSE()</f>
        <v>0</v>
      </c>
      <c r="G20" s="17" t="b">
        <f aca="false">FALSE()</f>
        <v>0</v>
      </c>
      <c r="H20" s="17" t="b">
        <f aca="false">FALSE()</f>
        <v>0</v>
      </c>
      <c r="I20" s="17" t="b">
        <f aca="false">FALSE()</f>
        <v>0</v>
      </c>
      <c r="J20" s="17" t="b">
        <f aca="false">FALSE()</f>
        <v>0</v>
      </c>
      <c r="K20" s="17" t="b">
        <f aca="false">FALSE()</f>
        <v>0</v>
      </c>
      <c r="L20" s="17" t="b">
        <f aca="false">FALSE()</f>
        <v>0</v>
      </c>
      <c r="M20" s="17" t="b">
        <f aca="false">FALSE()</f>
        <v>0</v>
      </c>
      <c r="N20" s="17" t="b">
        <f aca="false">FALSE()</f>
        <v>0</v>
      </c>
      <c r="O20" s="17" t="b">
        <f aca="false">FALSE()</f>
        <v>0</v>
      </c>
      <c r="P20" s="17" t="b">
        <f aca="false">FALSE()</f>
        <v>0</v>
      </c>
      <c r="Q20" s="17" t="b">
        <f aca="false">FALSE()</f>
        <v>0</v>
      </c>
      <c r="R20" s="17" t="b">
        <f aca="false">FALSE()</f>
        <v>0</v>
      </c>
      <c r="S20" s="17" t="b">
        <f aca="false">FALSE()</f>
        <v>0</v>
      </c>
      <c r="T20" s="17" t="b">
        <f aca="false">FALSE()</f>
        <v>0</v>
      </c>
      <c r="U20" s="17" t="b">
        <f aca="false">FALSE()</f>
        <v>0</v>
      </c>
      <c r="V20" s="17" t="b">
        <f aca="false">FALSE()</f>
        <v>0</v>
      </c>
      <c r="W20" s="17" t="b">
        <f aca="false">FALSE()</f>
        <v>0</v>
      </c>
      <c r="X20" s="17" t="b">
        <f aca="false">FALSE()</f>
        <v>0</v>
      </c>
      <c r="Y20" s="17" t="b">
        <f aca="false">FALSE()</f>
        <v>0</v>
      </c>
      <c r="Z20" s="17" t="b">
        <f aca="false">FALSE()</f>
        <v>0</v>
      </c>
      <c r="AA20" s="17" t="b">
        <f aca="false">FALSE()</f>
        <v>0</v>
      </c>
      <c r="AB20" s="17" t="b">
        <f aca="false">FALSE()</f>
        <v>0</v>
      </c>
      <c r="AC20" s="17" t="b">
        <f aca="false">FALSE()</f>
        <v>0</v>
      </c>
      <c r="AD20" s="17" t="b">
        <f aca="false">FALSE()</f>
        <v>0</v>
      </c>
      <c r="AE20" s="17" t="b">
        <f aca="false">FALSE()</f>
        <v>0</v>
      </c>
      <c r="AF20" s="17" t="b">
        <f aca="false">FALSE()</f>
        <v>0</v>
      </c>
      <c r="AG20" s="17" t="b">
        <f aca="false">FALSE()</f>
        <v>0</v>
      </c>
      <c r="AH20" s="1"/>
      <c r="AI20" s="18" t="n">
        <f aca="false">IF($B20="","",$AP$3)</f>
        <v>28</v>
      </c>
      <c r="AJ20" s="18" t="n">
        <f aca="false">IF($B20="","",COUNTIF(C20:AG20,TRUE()))</f>
        <v>0</v>
      </c>
      <c r="AK20" s="18" t="n">
        <f aca="false">IF($B20="","",AI20-AJ20)</f>
        <v>28</v>
      </c>
      <c r="AL20" s="19" t="n">
        <f aca="false">IF($B20="","",AJ20/AI20)</f>
        <v>0</v>
      </c>
      <c r="AM20" s="20" t="n">
        <f aca="false">IF($B20="","",AJ20/AI20)</f>
        <v>0</v>
      </c>
      <c r="AN20" s="21" t="n">
        <f aca="false">IF($B20="",-1,AM20-ROW()/100000)</f>
        <v>-0.0002</v>
      </c>
      <c r="AO20" s="1"/>
    </row>
    <row r="21" customFormat="false" ht="18" hidden="false" customHeight="true" outlineLevel="0" collapsed="false">
      <c r="A21" s="1"/>
      <c r="B21" s="16" t="s">
        <v>39</v>
      </c>
      <c r="C21" s="17" t="b">
        <f aca="false">FALSE()</f>
        <v>0</v>
      </c>
      <c r="D21" s="17" t="b">
        <f aca="false">FALSE()</f>
        <v>0</v>
      </c>
      <c r="E21" s="17" t="b">
        <f aca="false">FALSE()</f>
        <v>0</v>
      </c>
      <c r="F21" s="17" t="b">
        <f aca="false">FALSE()</f>
        <v>0</v>
      </c>
      <c r="G21" s="17" t="b">
        <f aca="false">FALSE()</f>
        <v>0</v>
      </c>
      <c r="H21" s="17" t="b">
        <f aca="false">FALSE()</f>
        <v>0</v>
      </c>
      <c r="I21" s="17" t="b">
        <f aca="false">FALSE()</f>
        <v>0</v>
      </c>
      <c r="J21" s="17" t="b">
        <f aca="false">FALSE()</f>
        <v>0</v>
      </c>
      <c r="K21" s="17" t="b">
        <f aca="false">FALSE()</f>
        <v>0</v>
      </c>
      <c r="L21" s="17" t="b">
        <f aca="false">FALSE()</f>
        <v>0</v>
      </c>
      <c r="M21" s="17" t="b">
        <f aca="false">FALSE()</f>
        <v>0</v>
      </c>
      <c r="N21" s="17" t="b">
        <f aca="false">FALSE()</f>
        <v>0</v>
      </c>
      <c r="O21" s="17" t="b">
        <f aca="false">FALSE()</f>
        <v>0</v>
      </c>
      <c r="P21" s="17" t="b">
        <f aca="false">FALSE()</f>
        <v>0</v>
      </c>
      <c r="Q21" s="17" t="b">
        <f aca="false">FALSE()</f>
        <v>0</v>
      </c>
      <c r="R21" s="17" t="b">
        <f aca="false">FALSE()</f>
        <v>0</v>
      </c>
      <c r="S21" s="17" t="b">
        <f aca="false">FALSE()</f>
        <v>0</v>
      </c>
      <c r="T21" s="17" t="b">
        <f aca="false">FALSE()</f>
        <v>0</v>
      </c>
      <c r="U21" s="17" t="b">
        <f aca="false">FALSE()</f>
        <v>0</v>
      </c>
      <c r="V21" s="17" t="b">
        <f aca="false">FALSE()</f>
        <v>0</v>
      </c>
      <c r="W21" s="17" t="b">
        <f aca="false">FALSE()</f>
        <v>0</v>
      </c>
      <c r="X21" s="17" t="b">
        <f aca="false">FALSE()</f>
        <v>0</v>
      </c>
      <c r="Y21" s="17" t="b">
        <f aca="false">FALSE()</f>
        <v>0</v>
      </c>
      <c r="Z21" s="17" t="b">
        <f aca="false">FALSE()</f>
        <v>0</v>
      </c>
      <c r="AA21" s="17" t="b">
        <f aca="false">FALSE()</f>
        <v>0</v>
      </c>
      <c r="AB21" s="17" t="b">
        <f aca="false">FALSE()</f>
        <v>0</v>
      </c>
      <c r="AC21" s="17" t="b">
        <f aca="false">FALSE()</f>
        <v>0</v>
      </c>
      <c r="AD21" s="17" t="b">
        <f aca="false">FALSE()</f>
        <v>0</v>
      </c>
      <c r="AE21" s="17" t="b">
        <f aca="false">FALSE()</f>
        <v>0</v>
      </c>
      <c r="AF21" s="17" t="b">
        <f aca="false">FALSE()</f>
        <v>0</v>
      </c>
      <c r="AG21" s="17" t="b">
        <f aca="false">FALSE()</f>
        <v>0</v>
      </c>
      <c r="AH21" s="1"/>
      <c r="AI21" s="18" t="n">
        <f aca="false">IF($B21="","",$AP$3)</f>
        <v>28</v>
      </c>
      <c r="AJ21" s="18" t="n">
        <f aca="false">IF($B21="","",COUNTIF(C21:AG21,TRUE()))</f>
        <v>0</v>
      </c>
      <c r="AK21" s="18" t="n">
        <f aca="false">IF($B21="","",AI21-AJ21)</f>
        <v>28</v>
      </c>
      <c r="AL21" s="19" t="n">
        <f aca="false">IF($B21="","",AJ21/AI21)</f>
        <v>0</v>
      </c>
      <c r="AM21" s="20" t="n">
        <f aca="false">IF($B21="","",AJ21/AI21)</f>
        <v>0</v>
      </c>
      <c r="AN21" s="21" t="n">
        <f aca="false">IF($B21="",-1,AM21-ROW()/100000)</f>
        <v>-0.00021</v>
      </c>
      <c r="AO21" s="1"/>
    </row>
    <row r="22" customFormat="false" ht="18" hidden="false" customHeight="true" outlineLevel="0" collapsed="false">
      <c r="A22" s="1"/>
      <c r="B22" s="16" t="s">
        <v>40</v>
      </c>
      <c r="C22" s="17" t="b">
        <f aca="false">FALSE()</f>
        <v>0</v>
      </c>
      <c r="D22" s="17" t="b">
        <f aca="false">FALSE()</f>
        <v>0</v>
      </c>
      <c r="E22" s="17" t="b">
        <f aca="false">FALSE()</f>
        <v>0</v>
      </c>
      <c r="F22" s="17" t="b">
        <f aca="false">FALSE()</f>
        <v>0</v>
      </c>
      <c r="G22" s="17" t="b">
        <f aca="false">FALSE()</f>
        <v>0</v>
      </c>
      <c r="H22" s="17" t="b">
        <f aca="false">FALSE()</f>
        <v>0</v>
      </c>
      <c r="I22" s="17" t="b">
        <f aca="false">FALSE()</f>
        <v>0</v>
      </c>
      <c r="J22" s="17" t="b">
        <f aca="false">FALSE()</f>
        <v>0</v>
      </c>
      <c r="K22" s="17" t="b">
        <f aca="false">FALSE()</f>
        <v>0</v>
      </c>
      <c r="L22" s="17" t="b">
        <f aca="false">FALSE()</f>
        <v>0</v>
      </c>
      <c r="M22" s="17" t="b">
        <f aca="false">FALSE()</f>
        <v>0</v>
      </c>
      <c r="N22" s="17" t="b">
        <f aca="false">FALSE()</f>
        <v>0</v>
      </c>
      <c r="O22" s="17" t="b">
        <f aca="false">FALSE()</f>
        <v>0</v>
      </c>
      <c r="P22" s="17" t="b">
        <f aca="false">FALSE()</f>
        <v>0</v>
      </c>
      <c r="Q22" s="17" t="b">
        <f aca="false">FALSE()</f>
        <v>0</v>
      </c>
      <c r="R22" s="17" t="b">
        <f aca="false">FALSE()</f>
        <v>0</v>
      </c>
      <c r="S22" s="17" t="b">
        <f aca="false">FALSE()</f>
        <v>0</v>
      </c>
      <c r="T22" s="17" t="b">
        <f aca="false">FALSE()</f>
        <v>0</v>
      </c>
      <c r="U22" s="17" t="b">
        <f aca="false">FALSE()</f>
        <v>0</v>
      </c>
      <c r="V22" s="17" t="b">
        <f aca="false">FALSE()</f>
        <v>0</v>
      </c>
      <c r="W22" s="17" t="b">
        <f aca="false">FALSE()</f>
        <v>0</v>
      </c>
      <c r="X22" s="17" t="b">
        <f aca="false">FALSE()</f>
        <v>0</v>
      </c>
      <c r="Y22" s="17" t="b">
        <f aca="false">FALSE()</f>
        <v>0</v>
      </c>
      <c r="Z22" s="17" t="b">
        <f aca="false">FALSE()</f>
        <v>0</v>
      </c>
      <c r="AA22" s="17" t="b">
        <f aca="false">FALSE()</f>
        <v>0</v>
      </c>
      <c r="AB22" s="17" t="b">
        <f aca="false">FALSE()</f>
        <v>0</v>
      </c>
      <c r="AC22" s="17" t="b">
        <f aca="false">FALSE()</f>
        <v>0</v>
      </c>
      <c r="AD22" s="17" t="b">
        <f aca="false">FALSE()</f>
        <v>0</v>
      </c>
      <c r="AE22" s="17" t="b">
        <f aca="false">FALSE()</f>
        <v>0</v>
      </c>
      <c r="AF22" s="17" t="b">
        <f aca="false">FALSE()</f>
        <v>0</v>
      </c>
      <c r="AG22" s="17" t="b">
        <f aca="false">FALSE()</f>
        <v>0</v>
      </c>
      <c r="AH22" s="1"/>
      <c r="AI22" s="18" t="n">
        <f aca="false">IF($B22="","",$AP$3)</f>
        <v>28</v>
      </c>
      <c r="AJ22" s="18" t="n">
        <f aca="false">IF($B22="","",COUNTIF(C22:AG22,TRUE()))</f>
        <v>0</v>
      </c>
      <c r="AK22" s="18" t="n">
        <f aca="false">IF($B22="","",AI22-AJ22)</f>
        <v>28</v>
      </c>
      <c r="AL22" s="19" t="n">
        <f aca="false">IF($B22="","",AJ22/AI22)</f>
        <v>0</v>
      </c>
      <c r="AM22" s="20" t="n">
        <f aca="false">IF($B22="","",AJ22/AI22)</f>
        <v>0</v>
      </c>
      <c r="AN22" s="21" t="n">
        <f aca="false">IF($B22="",-1,AM22-ROW()/100000)</f>
        <v>-0.00022</v>
      </c>
      <c r="AO22" s="1"/>
    </row>
    <row r="23" customFormat="false" ht="18" hidden="false" customHeight="true" outlineLevel="0" collapsed="false">
      <c r="A23" s="1"/>
      <c r="B23" s="16" t="s">
        <v>41</v>
      </c>
      <c r="C23" s="17" t="b">
        <f aca="false">FALSE()</f>
        <v>0</v>
      </c>
      <c r="D23" s="17" t="b">
        <f aca="false">FALSE()</f>
        <v>0</v>
      </c>
      <c r="E23" s="17" t="b">
        <f aca="false">FALSE()</f>
        <v>0</v>
      </c>
      <c r="F23" s="17" t="b">
        <f aca="false">FALSE()</f>
        <v>0</v>
      </c>
      <c r="G23" s="17" t="b">
        <f aca="false">FALSE()</f>
        <v>0</v>
      </c>
      <c r="H23" s="17" t="b">
        <f aca="false">FALSE()</f>
        <v>0</v>
      </c>
      <c r="I23" s="17" t="b">
        <f aca="false">FALSE()</f>
        <v>0</v>
      </c>
      <c r="J23" s="17" t="b">
        <f aca="false">FALSE()</f>
        <v>0</v>
      </c>
      <c r="K23" s="17" t="b">
        <f aca="false">FALSE()</f>
        <v>0</v>
      </c>
      <c r="L23" s="17" t="b">
        <f aca="false">FALSE()</f>
        <v>0</v>
      </c>
      <c r="M23" s="17" t="b">
        <f aca="false">FALSE()</f>
        <v>0</v>
      </c>
      <c r="N23" s="17" t="b">
        <f aca="false">FALSE()</f>
        <v>0</v>
      </c>
      <c r="O23" s="17" t="b">
        <f aca="false">FALSE()</f>
        <v>0</v>
      </c>
      <c r="P23" s="17" t="b">
        <f aca="false">FALSE()</f>
        <v>0</v>
      </c>
      <c r="Q23" s="17" t="b">
        <f aca="false">FALSE()</f>
        <v>0</v>
      </c>
      <c r="R23" s="17" t="b">
        <f aca="false">FALSE()</f>
        <v>0</v>
      </c>
      <c r="S23" s="17" t="b">
        <f aca="false">FALSE()</f>
        <v>0</v>
      </c>
      <c r="T23" s="17" t="b">
        <f aca="false">FALSE()</f>
        <v>0</v>
      </c>
      <c r="U23" s="17" t="b">
        <f aca="false">FALSE()</f>
        <v>0</v>
      </c>
      <c r="V23" s="17" t="b">
        <f aca="false">FALSE()</f>
        <v>0</v>
      </c>
      <c r="W23" s="17" t="b">
        <f aca="false">FALSE()</f>
        <v>0</v>
      </c>
      <c r="X23" s="17" t="b">
        <f aca="false">FALSE()</f>
        <v>0</v>
      </c>
      <c r="Y23" s="17" t="b">
        <f aca="false">FALSE()</f>
        <v>0</v>
      </c>
      <c r="Z23" s="17" t="b">
        <f aca="false">FALSE()</f>
        <v>0</v>
      </c>
      <c r="AA23" s="17" t="b">
        <f aca="false">FALSE()</f>
        <v>0</v>
      </c>
      <c r="AB23" s="17" t="b">
        <f aca="false">FALSE()</f>
        <v>0</v>
      </c>
      <c r="AC23" s="17" t="b">
        <f aca="false">FALSE()</f>
        <v>0</v>
      </c>
      <c r="AD23" s="17" t="b">
        <f aca="false">FALSE()</f>
        <v>0</v>
      </c>
      <c r="AE23" s="17" t="b">
        <f aca="false">FALSE()</f>
        <v>0</v>
      </c>
      <c r="AF23" s="17" t="b">
        <f aca="false">FALSE()</f>
        <v>0</v>
      </c>
      <c r="AG23" s="17" t="b">
        <f aca="false">FALSE()</f>
        <v>0</v>
      </c>
      <c r="AH23" s="1"/>
      <c r="AI23" s="18" t="n">
        <f aca="false">IF($B23="","",$AP$3)</f>
        <v>28</v>
      </c>
      <c r="AJ23" s="18" t="n">
        <f aca="false">IF($B23="","",COUNTIF(C23:AG23,TRUE()))</f>
        <v>0</v>
      </c>
      <c r="AK23" s="18" t="n">
        <f aca="false">IF($B23="","",AI23-AJ23)</f>
        <v>28</v>
      </c>
      <c r="AL23" s="19" t="n">
        <f aca="false">IF($B23="","",AJ23/AI23)</f>
        <v>0</v>
      </c>
      <c r="AM23" s="20" t="n">
        <f aca="false">IF($B23="","",AJ23/AI23)</f>
        <v>0</v>
      </c>
      <c r="AN23" s="21" t="n">
        <f aca="false">IF($B23="",-1,AM23-ROW()/100000)</f>
        <v>-0.00023</v>
      </c>
      <c r="AO23" s="1"/>
    </row>
    <row r="24" customFormat="false" ht="18" hidden="false" customHeight="true" outlineLevel="0" collapsed="false">
      <c r="A24" s="1"/>
      <c r="B24" s="16" t="s">
        <v>42</v>
      </c>
      <c r="C24" s="17" t="b">
        <f aca="false">FALSE()</f>
        <v>0</v>
      </c>
      <c r="D24" s="17" t="b">
        <f aca="false">FALSE()</f>
        <v>0</v>
      </c>
      <c r="E24" s="17" t="b">
        <f aca="false">FALSE()</f>
        <v>0</v>
      </c>
      <c r="F24" s="17" t="b">
        <f aca="false">FALSE()</f>
        <v>0</v>
      </c>
      <c r="G24" s="17" t="b">
        <f aca="false">FALSE()</f>
        <v>0</v>
      </c>
      <c r="H24" s="17" t="b">
        <f aca="false">FALSE()</f>
        <v>0</v>
      </c>
      <c r="I24" s="17" t="b">
        <f aca="false">FALSE()</f>
        <v>0</v>
      </c>
      <c r="J24" s="17" t="b">
        <f aca="false">FALSE()</f>
        <v>0</v>
      </c>
      <c r="K24" s="17" t="b">
        <f aca="false">FALSE()</f>
        <v>0</v>
      </c>
      <c r="L24" s="17" t="b">
        <f aca="false">FALSE()</f>
        <v>0</v>
      </c>
      <c r="M24" s="17" t="b">
        <f aca="false">FALSE()</f>
        <v>0</v>
      </c>
      <c r="N24" s="17" t="b">
        <f aca="false">FALSE()</f>
        <v>0</v>
      </c>
      <c r="O24" s="17" t="b">
        <f aca="false">FALSE()</f>
        <v>0</v>
      </c>
      <c r="P24" s="17" t="b">
        <f aca="false">FALSE()</f>
        <v>0</v>
      </c>
      <c r="Q24" s="17" t="b">
        <f aca="false">FALSE()</f>
        <v>0</v>
      </c>
      <c r="R24" s="17" t="b">
        <f aca="false">FALSE()</f>
        <v>0</v>
      </c>
      <c r="S24" s="17" t="b">
        <f aca="false">FALSE()</f>
        <v>0</v>
      </c>
      <c r="T24" s="17" t="b">
        <f aca="false">FALSE()</f>
        <v>0</v>
      </c>
      <c r="U24" s="17" t="b">
        <f aca="false">FALSE()</f>
        <v>0</v>
      </c>
      <c r="V24" s="17" t="b">
        <f aca="false">FALSE()</f>
        <v>0</v>
      </c>
      <c r="W24" s="17" t="b">
        <f aca="false">FALSE()</f>
        <v>0</v>
      </c>
      <c r="X24" s="17" t="b">
        <f aca="false">FALSE()</f>
        <v>0</v>
      </c>
      <c r="Y24" s="17" t="b">
        <f aca="false">FALSE()</f>
        <v>0</v>
      </c>
      <c r="Z24" s="17" t="b">
        <f aca="false">FALSE()</f>
        <v>0</v>
      </c>
      <c r="AA24" s="17" t="b">
        <f aca="false">FALSE()</f>
        <v>0</v>
      </c>
      <c r="AB24" s="17" t="b">
        <f aca="false">FALSE()</f>
        <v>0</v>
      </c>
      <c r="AC24" s="17" t="b">
        <f aca="false">FALSE()</f>
        <v>0</v>
      </c>
      <c r="AD24" s="17" t="b">
        <f aca="false">FALSE()</f>
        <v>0</v>
      </c>
      <c r="AE24" s="17" t="b">
        <f aca="false">FALSE()</f>
        <v>0</v>
      </c>
      <c r="AF24" s="17" t="b">
        <f aca="false">FALSE()</f>
        <v>0</v>
      </c>
      <c r="AG24" s="17" t="b">
        <f aca="false">FALSE()</f>
        <v>0</v>
      </c>
      <c r="AH24" s="1"/>
      <c r="AI24" s="18" t="n">
        <f aca="false">IF($B24="","",$AP$3)</f>
        <v>28</v>
      </c>
      <c r="AJ24" s="18" t="n">
        <f aca="false">IF($B24="","",COUNTIF(C24:AG24,TRUE()))</f>
        <v>0</v>
      </c>
      <c r="AK24" s="18" t="n">
        <f aca="false">IF($B24="","",AI24-AJ24)</f>
        <v>28</v>
      </c>
      <c r="AL24" s="19" t="n">
        <f aca="false">IF($B24="","",AJ24/AI24)</f>
        <v>0</v>
      </c>
      <c r="AM24" s="20" t="n">
        <f aca="false">IF($B24="","",AJ24/AI24)</f>
        <v>0</v>
      </c>
      <c r="AN24" s="21" t="n">
        <f aca="false">IF($B24="",-1,AM24-ROW()/100000)</f>
        <v>-0.00024</v>
      </c>
      <c r="AO24" s="1"/>
    </row>
    <row r="25" customFormat="false" ht="18" hidden="false" customHeight="true" outlineLevel="0" collapsed="false">
      <c r="A25" s="1"/>
      <c r="B25" s="16" t="s">
        <v>43</v>
      </c>
      <c r="C25" s="17" t="b">
        <f aca="false">FALSE()</f>
        <v>0</v>
      </c>
      <c r="D25" s="17" t="b">
        <f aca="false">FALSE()</f>
        <v>0</v>
      </c>
      <c r="E25" s="17" t="b">
        <f aca="false">FALSE()</f>
        <v>0</v>
      </c>
      <c r="F25" s="17" t="b">
        <f aca="false">FALSE()</f>
        <v>0</v>
      </c>
      <c r="G25" s="17" t="b">
        <f aca="false">FALSE()</f>
        <v>0</v>
      </c>
      <c r="H25" s="17" t="b">
        <f aca="false">FALSE()</f>
        <v>0</v>
      </c>
      <c r="I25" s="17" t="b">
        <f aca="false">FALSE()</f>
        <v>0</v>
      </c>
      <c r="J25" s="17" t="b">
        <f aca="false">FALSE()</f>
        <v>0</v>
      </c>
      <c r="K25" s="17" t="b">
        <f aca="false">FALSE()</f>
        <v>0</v>
      </c>
      <c r="L25" s="17" t="b">
        <f aca="false">FALSE()</f>
        <v>0</v>
      </c>
      <c r="M25" s="17" t="b">
        <f aca="false">FALSE()</f>
        <v>0</v>
      </c>
      <c r="N25" s="17" t="b">
        <f aca="false">FALSE()</f>
        <v>0</v>
      </c>
      <c r="O25" s="17" t="b">
        <f aca="false">FALSE()</f>
        <v>0</v>
      </c>
      <c r="P25" s="17" t="b">
        <f aca="false">FALSE()</f>
        <v>0</v>
      </c>
      <c r="Q25" s="17" t="b">
        <f aca="false">FALSE()</f>
        <v>0</v>
      </c>
      <c r="R25" s="17" t="b">
        <f aca="false">FALSE()</f>
        <v>0</v>
      </c>
      <c r="S25" s="17" t="b">
        <f aca="false">FALSE()</f>
        <v>0</v>
      </c>
      <c r="T25" s="17" t="b">
        <f aca="false">FALSE()</f>
        <v>0</v>
      </c>
      <c r="U25" s="17" t="b">
        <f aca="false">FALSE()</f>
        <v>0</v>
      </c>
      <c r="V25" s="17" t="b">
        <f aca="false">FALSE()</f>
        <v>0</v>
      </c>
      <c r="W25" s="17" t="b">
        <f aca="false">FALSE()</f>
        <v>0</v>
      </c>
      <c r="X25" s="17" t="b">
        <f aca="false">FALSE()</f>
        <v>0</v>
      </c>
      <c r="Y25" s="17" t="b">
        <f aca="false">FALSE()</f>
        <v>0</v>
      </c>
      <c r="Z25" s="17" t="b">
        <f aca="false">FALSE()</f>
        <v>0</v>
      </c>
      <c r="AA25" s="17" t="b">
        <f aca="false">FALSE()</f>
        <v>0</v>
      </c>
      <c r="AB25" s="17" t="b">
        <f aca="false">FALSE()</f>
        <v>0</v>
      </c>
      <c r="AC25" s="17" t="b">
        <f aca="false">FALSE()</f>
        <v>0</v>
      </c>
      <c r="AD25" s="17" t="b">
        <f aca="false">FALSE()</f>
        <v>0</v>
      </c>
      <c r="AE25" s="17" t="b">
        <f aca="false">FALSE()</f>
        <v>0</v>
      </c>
      <c r="AF25" s="17" t="b">
        <f aca="false">FALSE()</f>
        <v>0</v>
      </c>
      <c r="AG25" s="17" t="b">
        <f aca="false">FALSE()</f>
        <v>0</v>
      </c>
      <c r="AH25" s="1"/>
      <c r="AI25" s="18" t="n">
        <f aca="false">IF($B25="","",$AP$3)</f>
        <v>28</v>
      </c>
      <c r="AJ25" s="18" t="n">
        <f aca="false">IF($B25="","",COUNTIF(C25:AG25,TRUE()))</f>
        <v>0</v>
      </c>
      <c r="AK25" s="18" t="n">
        <f aca="false">IF($B25="","",AI25-AJ25)</f>
        <v>28</v>
      </c>
      <c r="AL25" s="19" t="n">
        <f aca="false">IF($B25="","",AJ25/AI25)</f>
        <v>0</v>
      </c>
      <c r="AM25" s="20" t="n">
        <f aca="false">IF($B25="","",AJ25/AI25)</f>
        <v>0</v>
      </c>
      <c r="AN25" s="21" t="n">
        <f aca="false">IF($B25="",-1,AM25-ROW()/100000)</f>
        <v>-0.00025</v>
      </c>
      <c r="AO25" s="1"/>
    </row>
    <row r="26" customFormat="false" ht="18" hidden="false" customHeight="true" outlineLevel="0" collapsed="false">
      <c r="A26" s="1"/>
      <c r="B26" s="16" t="s">
        <v>44</v>
      </c>
      <c r="C26" s="17" t="b">
        <f aca="false">FALSE()</f>
        <v>0</v>
      </c>
      <c r="D26" s="17" t="b">
        <f aca="false">FALSE()</f>
        <v>0</v>
      </c>
      <c r="E26" s="17" t="b">
        <f aca="false">FALSE()</f>
        <v>0</v>
      </c>
      <c r="F26" s="17" t="b">
        <f aca="false">FALSE()</f>
        <v>0</v>
      </c>
      <c r="G26" s="17" t="b">
        <f aca="false">FALSE()</f>
        <v>0</v>
      </c>
      <c r="H26" s="17" t="b">
        <f aca="false">FALSE()</f>
        <v>0</v>
      </c>
      <c r="I26" s="17" t="b">
        <f aca="false">FALSE()</f>
        <v>0</v>
      </c>
      <c r="J26" s="17" t="b">
        <f aca="false">FALSE()</f>
        <v>0</v>
      </c>
      <c r="K26" s="17" t="b">
        <f aca="false">FALSE()</f>
        <v>0</v>
      </c>
      <c r="L26" s="17" t="b">
        <f aca="false">FALSE()</f>
        <v>0</v>
      </c>
      <c r="M26" s="17" t="b">
        <f aca="false">FALSE()</f>
        <v>0</v>
      </c>
      <c r="N26" s="17" t="b">
        <f aca="false">FALSE()</f>
        <v>0</v>
      </c>
      <c r="O26" s="17" t="b">
        <f aca="false">FALSE()</f>
        <v>0</v>
      </c>
      <c r="P26" s="17" t="b">
        <f aca="false">FALSE()</f>
        <v>0</v>
      </c>
      <c r="Q26" s="17" t="b">
        <f aca="false">FALSE()</f>
        <v>0</v>
      </c>
      <c r="R26" s="17" t="b">
        <f aca="false">FALSE()</f>
        <v>0</v>
      </c>
      <c r="S26" s="17" t="b">
        <f aca="false">FALSE()</f>
        <v>0</v>
      </c>
      <c r="T26" s="17" t="b">
        <f aca="false">FALSE()</f>
        <v>0</v>
      </c>
      <c r="U26" s="17" t="b">
        <f aca="false">FALSE()</f>
        <v>0</v>
      </c>
      <c r="V26" s="17" t="b">
        <f aca="false">FALSE()</f>
        <v>0</v>
      </c>
      <c r="W26" s="17" t="b">
        <f aca="false">FALSE()</f>
        <v>0</v>
      </c>
      <c r="X26" s="17" t="b">
        <f aca="false">FALSE()</f>
        <v>0</v>
      </c>
      <c r="Y26" s="17" t="b">
        <f aca="false">FALSE()</f>
        <v>0</v>
      </c>
      <c r="Z26" s="17" t="b">
        <f aca="false">FALSE()</f>
        <v>0</v>
      </c>
      <c r="AA26" s="17" t="b">
        <f aca="false">FALSE()</f>
        <v>0</v>
      </c>
      <c r="AB26" s="17" t="b">
        <f aca="false">FALSE()</f>
        <v>0</v>
      </c>
      <c r="AC26" s="17" t="b">
        <f aca="false">FALSE()</f>
        <v>0</v>
      </c>
      <c r="AD26" s="17" t="b">
        <f aca="false">FALSE()</f>
        <v>0</v>
      </c>
      <c r="AE26" s="17" t="b">
        <f aca="false">FALSE()</f>
        <v>0</v>
      </c>
      <c r="AF26" s="17" t="b">
        <f aca="false">FALSE()</f>
        <v>0</v>
      </c>
      <c r="AG26" s="17" t="b">
        <f aca="false">FALSE()</f>
        <v>0</v>
      </c>
      <c r="AH26" s="1"/>
      <c r="AI26" s="18" t="n">
        <f aca="false">IF($B26="","",$AP$3)</f>
        <v>28</v>
      </c>
      <c r="AJ26" s="18" t="n">
        <f aca="false">IF($B26="","",COUNTIF(C26:AG26,TRUE()))</f>
        <v>0</v>
      </c>
      <c r="AK26" s="18" t="n">
        <f aca="false">IF($B26="","",AI26-AJ26)</f>
        <v>28</v>
      </c>
      <c r="AL26" s="19" t="n">
        <f aca="false">IF($B26="","",AJ26/AI26)</f>
        <v>0</v>
      </c>
      <c r="AM26" s="20" t="n">
        <f aca="false">IF($B26="","",AJ26/AI26)</f>
        <v>0</v>
      </c>
      <c r="AN26" s="21" t="n">
        <f aca="false">IF($B26="",-1,AM26-ROW()/100000)</f>
        <v>-0.00026</v>
      </c>
      <c r="AO26" s="1"/>
    </row>
    <row r="27" customFormat="false" ht="18" hidden="false" customHeight="true" outlineLevel="0" collapsed="false">
      <c r="A27" s="1"/>
      <c r="B27" s="16"/>
      <c r="C27" s="17" t="b">
        <f aca="false">FALSE()</f>
        <v>0</v>
      </c>
      <c r="D27" s="17" t="b">
        <f aca="false">FALSE()</f>
        <v>0</v>
      </c>
      <c r="E27" s="17" t="b">
        <f aca="false">FALSE()</f>
        <v>0</v>
      </c>
      <c r="F27" s="17" t="b">
        <f aca="false">FALSE()</f>
        <v>0</v>
      </c>
      <c r="G27" s="17" t="b">
        <f aca="false">FALSE()</f>
        <v>0</v>
      </c>
      <c r="H27" s="17" t="b">
        <f aca="false">FALSE()</f>
        <v>0</v>
      </c>
      <c r="I27" s="17" t="b">
        <f aca="false">FALSE()</f>
        <v>0</v>
      </c>
      <c r="J27" s="17" t="b">
        <f aca="false">FALSE()</f>
        <v>0</v>
      </c>
      <c r="K27" s="17" t="b">
        <f aca="false">FALSE()</f>
        <v>0</v>
      </c>
      <c r="L27" s="17" t="b">
        <f aca="false">FALSE()</f>
        <v>0</v>
      </c>
      <c r="M27" s="17" t="b">
        <f aca="false">FALSE()</f>
        <v>0</v>
      </c>
      <c r="N27" s="17" t="b">
        <f aca="false">FALSE()</f>
        <v>0</v>
      </c>
      <c r="O27" s="17" t="b">
        <f aca="false">FALSE()</f>
        <v>0</v>
      </c>
      <c r="P27" s="17" t="b">
        <f aca="false">FALSE()</f>
        <v>0</v>
      </c>
      <c r="Q27" s="17" t="b">
        <f aca="false">FALSE()</f>
        <v>0</v>
      </c>
      <c r="R27" s="17" t="b">
        <f aca="false">FALSE()</f>
        <v>0</v>
      </c>
      <c r="S27" s="17" t="b">
        <f aca="false">FALSE()</f>
        <v>0</v>
      </c>
      <c r="T27" s="17" t="b">
        <f aca="false">FALSE()</f>
        <v>0</v>
      </c>
      <c r="U27" s="17" t="b">
        <f aca="false">FALSE()</f>
        <v>0</v>
      </c>
      <c r="V27" s="17" t="b">
        <f aca="false">FALSE()</f>
        <v>0</v>
      </c>
      <c r="W27" s="17" t="b">
        <f aca="false">FALSE()</f>
        <v>0</v>
      </c>
      <c r="X27" s="17" t="b">
        <f aca="false">FALSE()</f>
        <v>0</v>
      </c>
      <c r="Y27" s="17" t="b">
        <f aca="false">FALSE()</f>
        <v>0</v>
      </c>
      <c r="Z27" s="17" t="b">
        <f aca="false">FALSE()</f>
        <v>0</v>
      </c>
      <c r="AA27" s="17" t="b">
        <f aca="false">FALSE()</f>
        <v>0</v>
      </c>
      <c r="AB27" s="17" t="b">
        <f aca="false">FALSE()</f>
        <v>0</v>
      </c>
      <c r="AC27" s="17" t="b">
        <f aca="false">FALSE()</f>
        <v>0</v>
      </c>
      <c r="AD27" s="17" t="b">
        <f aca="false">FALSE()</f>
        <v>0</v>
      </c>
      <c r="AE27" s="17" t="b">
        <f aca="false">FALSE()</f>
        <v>0</v>
      </c>
      <c r="AF27" s="17" t="b">
        <f aca="false">FALSE()</f>
        <v>0</v>
      </c>
      <c r="AG27" s="17" t="b">
        <f aca="false">FALSE()</f>
        <v>0</v>
      </c>
      <c r="AH27" s="1"/>
      <c r="AI27" s="18" t="str">
        <f aca="false">IF($B27="","",$AP$3)</f>
        <v/>
      </c>
      <c r="AJ27" s="18" t="str">
        <f aca="false">IF($B27="","",COUNTIF(C27:AG27,TRUE()))</f>
        <v/>
      </c>
      <c r="AK27" s="18" t="str">
        <f aca="false">IF($B27="","",AI27-AJ27)</f>
        <v/>
      </c>
      <c r="AL27" s="19" t="str">
        <f aca="false">IF($B27="","",AJ27/AI27)</f>
        <v/>
      </c>
      <c r="AM27" s="20" t="str">
        <f aca="false">IF($B27="","",AJ27/AI27)</f>
        <v/>
      </c>
      <c r="AN27" s="1" t="n">
        <f aca="false">IF($B27="",-1,AM27-ROW()/100000)</f>
        <v>-1</v>
      </c>
      <c r="AO27" s="1"/>
    </row>
    <row r="28" customFormat="false" ht="18" hidden="false" customHeight="true" outlineLevel="0" collapsed="false">
      <c r="A28" s="1"/>
      <c r="B28" s="16"/>
      <c r="C28" s="17" t="b">
        <f aca="false">FALSE()</f>
        <v>0</v>
      </c>
      <c r="D28" s="17" t="b">
        <f aca="false">FALSE()</f>
        <v>0</v>
      </c>
      <c r="E28" s="17" t="b">
        <f aca="false">FALSE()</f>
        <v>0</v>
      </c>
      <c r="F28" s="17" t="b">
        <f aca="false">FALSE()</f>
        <v>0</v>
      </c>
      <c r="G28" s="17" t="b">
        <f aca="false">FALSE()</f>
        <v>0</v>
      </c>
      <c r="H28" s="17" t="b">
        <f aca="false">FALSE()</f>
        <v>0</v>
      </c>
      <c r="I28" s="17" t="b">
        <f aca="false">FALSE()</f>
        <v>0</v>
      </c>
      <c r="J28" s="17" t="b">
        <f aca="false">FALSE()</f>
        <v>0</v>
      </c>
      <c r="K28" s="17" t="b">
        <f aca="false">FALSE()</f>
        <v>0</v>
      </c>
      <c r="L28" s="17" t="b">
        <f aca="false">FALSE()</f>
        <v>0</v>
      </c>
      <c r="M28" s="17" t="b">
        <f aca="false">FALSE()</f>
        <v>0</v>
      </c>
      <c r="N28" s="17" t="b">
        <f aca="false">FALSE()</f>
        <v>0</v>
      </c>
      <c r="O28" s="17" t="b">
        <f aca="false">FALSE()</f>
        <v>0</v>
      </c>
      <c r="P28" s="17" t="b">
        <f aca="false">FALSE()</f>
        <v>0</v>
      </c>
      <c r="Q28" s="17" t="b">
        <f aca="false">FALSE()</f>
        <v>0</v>
      </c>
      <c r="R28" s="17" t="b">
        <f aca="false">FALSE()</f>
        <v>0</v>
      </c>
      <c r="S28" s="17" t="b">
        <f aca="false">FALSE()</f>
        <v>0</v>
      </c>
      <c r="T28" s="17" t="b">
        <f aca="false">FALSE()</f>
        <v>0</v>
      </c>
      <c r="U28" s="17" t="b">
        <f aca="false">FALSE()</f>
        <v>0</v>
      </c>
      <c r="V28" s="17" t="b">
        <f aca="false">FALSE()</f>
        <v>0</v>
      </c>
      <c r="W28" s="17" t="b">
        <f aca="false">FALSE()</f>
        <v>0</v>
      </c>
      <c r="X28" s="17" t="b">
        <f aca="false">FALSE()</f>
        <v>0</v>
      </c>
      <c r="Y28" s="17" t="b">
        <f aca="false">FALSE()</f>
        <v>0</v>
      </c>
      <c r="Z28" s="17" t="b">
        <f aca="false">FALSE()</f>
        <v>0</v>
      </c>
      <c r="AA28" s="17" t="b">
        <f aca="false">FALSE()</f>
        <v>0</v>
      </c>
      <c r="AB28" s="17" t="b">
        <f aca="false">FALSE()</f>
        <v>0</v>
      </c>
      <c r="AC28" s="17" t="b">
        <f aca="false">FALSE()</f>
        <v>0</v>
      </c>
      <c r="AD28" s="17" t="b">
        <f aca="false">FALSE()</f>
        <v>0</v>
      </c>
      <c r="AE28" s="17" t="b">
        <f aca="false">FALSE()</f>
        <v>0</v>
      </c>
      <c r="AF28" s="17" t="b">
        <f aca="false">FALSE()</f>
        <v>0</v>
      </c>
      <c r="AG28" s="17" t="b">
        <f aca="false">FALSE()</f>
        <v>0</v>
      </c>
      <c r="AH28" s="1"/>
      <c r="AI28" s="18" t="str">
        <f aca="false">IF($B28="","",$AP$3)</f>
        <v/>
      </c>
      <c r="AJ28" s="18" t="str">
        <f aca="false">IF($B28="","",COUNTIF(C28:AG28,TRUE()))</f>
        <v/>
      </c>
      <c r="AK28" s="18" t="str">
        <f aca="false">IF($B28="","",AI28-AJ28)</f>
        <v/>
      </c>
      <c r="AL28" s="19" t="str">
        <f aca="false">IF($B28="","",AJ28/AI28)</f>
        <v/>
      </c>
      <c r="AM28" s="20" t="str">
        <f aca="false">IF($B28="","",AJ28/AI28)</f>
        <v/>
      </c>
      <c r="AN28" s="1" t="n">
        <f aca="false">IF($B28="",-1,AM28-ROW()/100000)</f>
        <v>-1</v>
      </c>
      <c r="AO28" s="1"/>
    </row>
    <row r="29" customFormat="false" ht="15" hidden="false" customHeight="false" outlineLevel="0" collapsed="false">
      <c r="A29" s="1"/>
      <c r="B29" s="22" t="s">
        <v>45</v>
      </c>
      <c r="C29" s="23" t="n">
        <f aca="false">IF(OR(C$16="",SUMPRODUCT(--(LEN($B$17:$B$28)&gt;0))=0),"",SUMPRODUCT(($B$17:$B$28&lt;&gt;"")*(C$17:C$28=TRUE()))/SUMPRODUCT(--(LEN($B$17:$B$28)&gt;0)))</f>
        <v>0</v>
      </c>
      <c r="D29" s="23" t="n">
        <f aca="false">IF(OR(D$16="",SUMPRODUCT(--(LEN($B$17:$B$28)&gt;0))=0),"",SUMPRODUCT(($B$17:$B$28&lt;&gt;"")*(D$17:D$28=TRUE()))/SUMPRODUCT(--(LEN($B$17:$B$28)&gt;0)))</f>
        <v>0</v>
      </c>
      <c r="E29" s="23" t="n">
        <f aca="false">IF(OR(E$16="",SUMPRODUCT(--(LEN($B$17:$B$28)&gt;0))=0),"",SUMPRODUCT(($B$17:$B$28&lt;&gt;"")*(E$17:E$28=TRUE()))/SUMPRODUCT(--(LEN($B$17:$B$28)&gt;0)))</f>
        <v>0</v>
      </c>
      <c r="F29" s="23" t="n">
        <f aca="false">IF(OR(F$16="",SUMPRODUCT(--(LEN($B$17:$B$28)&gt;0))=0),"",SUMPRODUCT(($B$17:$B$28&lt;&gt;"")*(F$17:F$28=TRUE()))/SUMPRODUCT(--(LEN($B$17:$B$28)&gt;0)))</f>
        <v>0</v>
      </c>
      <c r="G29" s="23" t="n">
        <f aca="false">IF(OR(G$16="",SUMPRODUCT(--(LEN($B$17:$B$28)&gt;0))=0),"",SUMPRODUCT(($B$17:$B$28&lt;&gt;"")*(G$17:G$28=TRUE()))/SUMPRODUCT(--(LEN($B$17:$B$28)&gt;0)))</f>
        <v>0</v>
      </c>
      <c r="H29" s="23" t="n">
        <f aca="false">IF(OR(H$16="",SUMPRODUCT(--(LEN($B$17:$B$28)&gt;0))=0),"",SUMPRODUCT(($B$17:$B$28&lt;&gt;"")*(H$17:H$28=TRUE()))/SUMPRODUCT(--(LEN($B$17:$B$28)&gt;0)))</f>
        <v>0</v>
      </c>
      <c r="I29" s="23" t="n">
        <f aca="false">IF(OR(I$16="",SUMPRODUCT(--(LEN($B$17:$B$28)&gt;0))=0),"",SUMPRODUCT(($B$17:$B$28&lt;&gt;"")*(I$17:I$28=TRUE()))/SUMPRODUCT(--(LEN($B$17:$B$28)&gt;0)))</f>
        <v>0</v>
      </c>
      <c r="J29" s="23" t="n">
        <f aca="false">IF(OR(J$16="",SUMPRODUCT(--(LEN($B$17:$B$28)&gt;0))=0),"",SUMPRODUCT(($B$17:$B$28&lt;&gt;"")*(J$17:J$28=TRUE()))/SUMPRODUCT(--(LEN($B$17:$B$28)&gt;0)))</f>
        <v>0</v>
      </c>
      <c r="K29" s="23" t="n">
        <f aca="false">IF(OR(K$16="",SUMPRODUCT(--(LEN($B$17:$B$28)&gt;0))=0),"",SUMPRODUCT(($B$17:$B$28&lt;&gt;"")*(K$17:K$28=TRUE()))/SUMPRODUCT(--(LEN($B$17:$B$28)&gt;0)))</f>
        <v>0</v>
      </c>
      <c r="L29" s="23" t="n">
        <f aca="false">IF(OR(L$16="",SUMPRODUCT(--(LEN($B$17:$B$28)&gt;0))=0),"",SUMPRODUCT(($B$17:$B$28&lt;&gt;"")*(L$17:L$28=TRUE()))/SUMPRODUCT(--(LEN($B$17:$B$28)&gt;0)))</f>
        <v>0</v>
      </c>
      <c r="M29" s="23" t="n">
        <f aca="false">IF(OR(M$16="",SUMPRODUCT(--(LEN($B$17:$B$28)&gt;0))=0),"",SUMPRODUCT(($B$17:$B$28&lt;&gt;"")*(M$17:M$28=TRUE()))/SUMPRODUCT(--(LEN($B$17:$B$28)&gt;0)))</f>
        <v>0</v>
      </c>
      <c r="N29" s="23" t="n">
        <f aca="false">IF(OR(N$16="",SUMPRODUCT(--(LEN($B$17:$B$28)&gt;0))=0),"",SUMPRODUCT(($B$17:$B$28&lt;&gt;"")*(N$17:N$28=TRUE()))/SUMPRODUCT(--(LEN($B$17:$B$28)&gt;0)))</f>
        <v>0</v>
      </c>
      <c r="O29" s="23" t="n">
        <f aca="false">IF(OR(O$16="",SUMPRODUCT(--(LEN($B$17:$B$28)&gt;0))=0),"",SUMPRODUCT(($B$17:$B$28&lt;&gt;"")*(O$17:O$28=TRUE()))/SUMPRODUCT(--(LEN($B$17:$B$28)&gt;0)))</f>
        <v>0</v>
      </c>
      <c r="P29" s="23" t="n">
        <f aca="false">IF(OR(P$16="",SUMPRODUCT(--(LEN($B$17:$B$28)&gt;0))=0),"",SUMPRODUCT(($B$17:$B$28&lt;&gt;"")*(P$17:P$28=TRUE()))/SUMPRODUCT(--(LEN($B$17:$B$28)&gt;0)))</f>
        <v>0</v>
      </c>
      <c r="Q29" s="23" t="n">
        <f aca="false">IF(OR(Q$16="",SUMPRODUCT(--(LEN($B$17:$B$28)&gt;0))=0),"",SUMPRODUCT(($B$17:$B$28&lt;&gt;"")*(Q$17:Q$28=TRUE()))/SUMPRODUCT(--(LEN($B$17:$B$28)&gt;0)))</f>
        <v>0</v>
      </c>
      <c r="R29" s="23" t="n">
        <f aca="false">IF(OR(R$16="",SUMPRODUCT(--(LEN($B$17:$B$28)&gt;0))=0),"",SUMPRODUCT(($B$17:$B$28&lt;&gt;"")*(R$17:R$28=TRUE()))/SUMPRODUCT(--(LEN($B$17:$B$28)&gt;0)))</f>
        <v>0</v>
      </c>
      <c r="S29" s="23" t="n">
        <f aca="false">IF(OR(S$16="",SUMPRODUCT(--(LEN($B$17:$B$28)&gt;0))=0),"",SUMPRODUCT(($B$17:$B$28&lt;&gt;"")*(S$17:S$28=TRUE()))/SUMPRODUCT(--(LEN($B$17:$B$28)&gt;0)))</f>
        <v>0</v>
      </c>
      <c r="T29" s="23" t="n">
        <f aca="false">IF(OR(T$16="",SUMPRODUCT(--(LEN($B$17:$B$28)&gt;0))=0),"",SUMPRODUCT(($B$17:$B$28&lt;&gt;"")*(T$17:T$28=TRUE()))/SUMPRODUCT(--(LEN($B$17:$B$28)&gt;0)))</f>
        <v>0</v>
      </c>
      <c r="U29" s="23" t="n">
        <f aca="false">IF(OR(U$16="",SUMPRODUCT(--(LEN($B$17:$B$28)&gt;0))=0),"",SUMPRODUCT(($B$17:$B$28&lt;&gt;"")*(U$17:U$28=TRUE()))/SUMPRODUCT(--(LEN($B$17:$B$28)&gt;0)))</f>
        <v>0</v>
      </c>
      <c r="V29" s="23" t="n">
        <f aca="false">IF(OR(V$16="",SUMPRODUCT(--(LEN($B$17:$B$28)&gt;0))=0),"",SUMPRODUCT(($B$17:$B$28&lt;&gt;"")*(V$17:V$28=TRUE()))/SUMPRODUCT(--(LEN($B$17:$B$28)&gt;0)))</f>
        <v>0</v>
      </c>
      <c r="W29" s="23" t="n">
        <f aca="false">IF(OR(W$16="",SUMPRODUCT(--(LEN($B$17:$B$28)&gt;0))=0),"",SUMPRODUCT(($B$17:$B$28&lt;&gt;"")*(W$17:W$28=TRUE()))/SUMPRODUCT(--(LEN($B$17:$B$28)&gt;0)))</f>
        <v>0</v>
      </c>
      <c r="X29" s="23" t="n">
        <f aca="false">IF(OR(X$16="",SUMPRODUCT(--(LEN($B$17:$B$28)&gt;0))=0),"",SUMPRODUCT(($B$17:$B$28&lt;&gt;"")*(X$17:X$28=TRUE()))/SUMPRODUCT(--(LEN($B$17:$B$28)&gt;0)))</f>
        <v>0</v>
      </c>
      <c r="Y29" s="23" t="n">
        <f aca="false">IF(OR(Y$16="",SUMPRODUCT(--(LEN($B$17:$B$28)&gt;0))=0),"",SUMPRODUCT(($B$17:$B$28&lt;&gt;"")*(Y$17:Y$28=TRUE()))/SUMPRODUCT(--(LEN($B$17:$B$28)&gt;0)))</f>
        <v>0</v>
      </c>
      <c r="Z29" s="23" t="n">
        <f aca="false">IF(OR(Z$16="",SUMPRODUCT(--(LEN($B$17:$B$28)&gt;0))=0),"",SUMPRODUCT(($B$17:$B$28&lt;&gt;"")*(Z$17:Z$28=TRUE()))/SUMPRODUCT(--(LEN($B$17:$B$28)&gt;0)))</f>
        <v>0</v>
      </c>
      <c r="AA29" s="23" t="n">
        <f aca="false">IF(OR(AA$16="",SUMPRODUCT(--(LEN($B$17:$B$28)&gt;0))=0),"",SUMPRODUCT(($B$17:$B$28&lt;&gt;"")*(AA$17:AA$28=TRUE()))/SUMPRODUCT(--(LEN($B$17:$B$28)&gt;0)))</f>
        <v>0</v>
      </c>
      <c r="AB29" s="23" t="n">
        <f aca="false">IF(OR(AB$16="",SUMPRODUCT(--(LEN($B$17:$B$28)&gt;0))=0),"",SUMPRODUCT(($B$17:$B$28&lt;&gt;"")*(AB$17:AB$28=TRUE()))/SUMPRODUCT(--(LEN($B$17:$B$28)&gt;0)))</f>
        <v>0</v>
      </c>
      <c r="AC29" s="23" t="n">
        <f aca="false">IF(OR(AC$16="",SUMPRODUCT(--(LEN($B$17:$B$28)&gt;0))=0),"",SUMPRODUCT(($B$17:$B$28&lt;&gt;"")*(AC$17:AC$28=TRUE()))/SUMPRODUCT(--(LEN($B$17:$B$28)&gt;0)))</f>
        <v>0</v>
      </c>
      <c r="AD29" s="23" t="n">
        <f aca="false">IF(OR(AD$16="",SUMPRODUCT(--(LEN($B$17:$B$28)&gt;0))=0),"",SUMPRODUCT(($B$17:$B$28&lt;&gt;"")*(AD$17:AD$28=TRUE()))/SUMPRODUCT(--(LEN($B$17:$B$28)&gt;0)))</f>
        <v>0</v>
      </c>
      <c r="AE29" s="23" t="str">
        <f aca="false">IF(OR(AE$16="",SUMPRODUCT(--(LEN($B$17:$B$28)&gt;0))=0),"",SUMPRODUCT(($B$17:$B$28&lt;&gt;"")*(AE$17:AE$28=TRUE()))/SUMPRODUCT(--(LEN($B$17:$B$28)&gt;0)))</f>
        <v/>
      </c>
      <c r="AF29" s="23" t="str">
        <f aca="false">IF(OR(AF$16="",SUMPRODUCT(--(LEN($B$17:$B$28)&gt;0))=0),"",SUMPRODUCT(($B$17:$B$28&lt;&gt;"")*(AF$17:AF$28=TRUE()))/SUMPRODUCT(--(LEN($B$17:$B$28)&gt;0)))</f>
        <v/>
      </c>
      <c r="AG29" s="23" t="str">
        <f aca="false">IF(OR(AG$16="",SUMPRODUCT(--(LEN($B$17:$B$28)&gt;0))=0),"",SUMPRODUCT(($B$17:$B$28&lt;&gt;"")*(AG$17:AG$28=TRUE()))/SUMPRODUCT(--(LEN($B$17:$B$28)&gt;0)))</f>
        <v/>
      </c>
      <c r="AH29" s="1"/>
      <c r="AI29" s="1"/>
      <c r="AJ29" s="1"/>
      <c r="AK29" s="1"/>
      <c r="AL29" s="1"/>
      <c r="AM29" s="1"/>
      <c r="AN29" s="1"/>
      <c r="AO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</row>
    <row r="31" customFormat="false" ht="15" hidden="false" customHeight="false" outlineLevel="0" collapsed="false">
      <c r="A31" s="1"/>
      <c r="B31" s="24"/>
      <c r="C31" s="12" t="s">
        <v>46</v>
      </c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"/>
      <c r="AI31" s="25" t="s">
        <v>47</v>
      </c>
      <c r="AJ31" s="25"/>
      <c r="AK31" s="25"/>
      <c r="AL31" s="25"/>
      <c r="AM31" s="25"/>
      <c r="AN31" s="1"/>
      <c r="AO31" s="1"/>
    </row>
    <row r="32" customFormat="false" ht="15.75" hidden="false" customHeight="true" outlineLevel="0" collapsed="false">
      <c r="A32" s="1"/>
      <c r="B32" s="7" t="s">
        <v>48</v>
      </c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1"/>
      <c r="AI32" s="27" t="n">
        <v>1</v>
      </c>
      <c r="AJ32" s="28" t="str">
        <f aca="false">IF(LARGE($AN$17:$AN$28,1)&lt;0,"",INDEX($B$17:$B$28,MATCH(LARGE($AN$17:$AN$28,1),$AN$17:$AN$28,0)))</f>
        <v/>
      </c>
      <c r="AK32" s="28"/>
      <c r="AL32" s="28"/>
      <c r="AM32" s="29" t="str">
        <f aca="false">IF(AJ32="","",INDEX($AM$17:$AM$28,MATCH(LARGE($AN$17:$AN$28,1),$AN$17:$AN$28,0)))</f>
        <v/>
      </c>
      <c r="AN32" s="1"/>
      <c r="AO32" s="1"/>
    </row>
    <row r="33" customFormat="false" ht="15.75" hidden="false" customHeight="true" outlineLevel="0" collapsed="false">
      <c r="A33" s="1"/>
      <c r="B33" s="7" t="s">
        <v>49</v>
      </c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1"/>
      <c r="AI33" s="27" t="n">
        <v>2</v>
      </c>
      <c r="AJ33" s="28" t="str">
        <f aca="false">IF(LARGE($AN$17:$AN$28,2)&lt;0,"",INDEX($B$17:$B$28,MATCH(LARGE($AN$17:$AN$28,2),$AN$17:$AN$28,0)))</f>
        <v/>
      </c>
      <c r="AK33" s="28"/>
      <c r="AL33" s="28"/>
      <c r="AM33" s="29" t="str">
        <f aca="false">IF(AJ33="","",INDEX($AM$17:$AM$28,MATCH(LARGE($AN$17:$AN$28,2),$AN$17:$AN$28,0)))</f>
        <v/>
      </c>
      <c r="AN33" s="1"/>
      <c r="AO33" s="1"/>
    </row>
    <row r="34" customFormat="false" ht="15.75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27" t="n">
        <v>3</v>
      </c>
      <c r="AJ34" s="28" t="str">
        <f aca="false">IF(LARGE($AN$17:$AN$28,3)&lt;0,"",INDEX($B$17:$B$28,MATCH(LARGE($AN$17:$AN$28,3),$AN$17:$AN$28,0)))</f>
        <v/>
      </c>
      <c r="AK34" s="28"/>
      <c r="AL34" s="28"/>
      <c r="AM34" s="29" t="str">
        <f aca="false">IF(AJ34="","",INDEX($AM$17:$AM$28,MATCH(LARGE($AN$17:$AN$28,3),$AN$17:$AN$28,0)))</f>
        <v/>
      </c>
      <c r="AN34" s="1"/>
      <c r="AO34" s="1"/>
    </row>
    <row r="35" customFormat="false" ht="15.75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27" t="n">
        <v>4</v>
      </c>
      <c r="AJ35" s="28" t="str">
        <f aca="false">IF(LARGE($AN$17:$AN$28,4)&lt;0,"",INDEX($B$17:$B$28,MATCH(LARGE($AN$17:$AN$28,4),$AN$17:$AN$28,0)))</f>
        <v/>
      </c>
      <c r="AK35" s="28"/>
      <c r="AL35" s="28"/>
      <c r="AM35" s="29" t="str">
        <f aca="false">IF(AJ35="","",INDEX($AM$17:$AM$28,MATCH(LARGE($AN$17:$AN$28,4),$AN$17:$AN$28,0)))</f>
        <v/>
      </c>
      <c r="AN35" s="1"/>
      <c r="AO35" s="1"/>
    </row>
    <row r="36" customFormat="false" ht="15.75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27" t="n">
        <v>5</v>
      </c>
      <c r="AJ36" s="28" t="str">
        <f aca="false">IF(LARGE($AN$17:$AN$28,5)&lt;0,"",INDEX($B$17:$B$28,MATCH(LARGE($AN$17:$AN$28,5),$AN$17:$AN$28,0)))</f>
        <v/>
      </c>
      <c r="AK36" s="28"/>
      <c r="AL36" s="28"/>
      <c r="AM36" s="29" t="str">
        <f aca="false">IF(AJ36="","",INDEX($AM$17:$AM$28,MATCH(LARGE($AN$17:$AN$28,5),$AN$17:$AN$28,0)))</f>
        <v/>
      </c>
      <c r="AN36" s="1"/>
      <c r="AO36" s="1"/>
    </row>
    <row r="37" customFormat="false" ht="15.75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27" t="n">
        <v>6</v>
      </c>
      <c r="AJ37" s="28" t="str">
        <f aca="false">IF(LARGE($AN$17:$AN$28,6)&lt;0,"",INDEX($B$17:$B$28,MATCH(LARGE($AN$17:$AN$28,6),$AN$17:$AN$28,0)))</f>
        <v/>
      </c>
      <c r="AK37" s="28"/>
      <c r="AL37" s="28"/>
      <c r="AM37" s="29" t="str">
        <f aca="false">IF(AJ37="","",INDEX($AM$17:$AM$28,MATCH(LARGE($AN$17:$AN$28,6),$AN$17:$AN$28,0)))</f>
        <v/>
      </c>
      <c r="AN37" s="1"/>
      <c r="AO37" s="1"/>
    </row>
    <row r="38" customFormat="false" ht="15.75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27" t="n">
        <v>7</v>
      </c>
      <c r="AJ38" s="28" t="str">
        <f aca="false">IF(LARGE($AN$17:$AN$28,7)&lt;0,"",INDEX($B$17:$B$28,MATCH(LARGE($AN$17:$AN$28,7),$AN$17:$AN$28,0)))</f>
        <v/>
      </c>
      <c r="AK38" s="28"/>
      <c r="AL38" s="28"/>
      <c r="AM38" s="29" t="str">
        <f aca="false">IF(AJ38="","",INDEX($AM$17:$AM$28,MATCH(LARGE($AN$17:$AN$28,7),$AN$17:$AN$28,0)))</f>
        <v/>
      </c>
      <c r="AN38" s="1"/>
      <c r="AO38" s="1"/>
    </row>
    <row r="39" customFormat="false" ht="15.75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27" t="n">
        <v>8</v>
      </c>
      <c r="AJ39" s="28" t="str">
        <f aca="false">IF(LARGE($AN$17:$AN$28,8)&lt;0,"",INDEX($B$17:$B$28,MATCH(LARGE($AN$17:$AN$28,8),$AN$17:$AN$28,0)))</f>
        <v/>
      </c>
      <c r="AK39" s="28"/>
      <c r="AL39" s="28"/>
      <c r="AM39" s="29" t="str">
        <f aca="false">IF(AJ39="","",INDEX($AM$17:$AM$28,MATCH(LARGE($AN$17:$AN$28,8),$AN$17:$AN$28,0)))</f>
        <v/>
      </c>
      <c r="AN39" s="1"/>
      <c r="AO39" s="1"/>
    </row>
    <row r="40" customFormat="false" ht="15.75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27" t="n">
        <v>9</v>
      </c>
      <c r="AJ40" s="28" t="str">
        <f aca="false">IF(LARGE($AN$17:$AN$28,9)&lt;0,"",INDEX($B$17:$B$28,MATCH(LARGE($AN$17:$AN$28,9),$AN$17:$AN$28,0)))</f>
        <v/>
      </c>
      <c r="AK40" s="28"/>
      <c r="AL40" s="28"/>
      <c r="AM40" s="29" t="str">
        <f aca="false">IF(AJ40="","",INDEX($AM$17:$AM$28,MATCH(LARGE($AN$17:$AN$28,9),$AN$17:$AN$28,0)))</f>
        <v/>
      </c>
      <c r="AN40" s="1"/>
      <c r="AO40" s="1"/>
    </row>
    <row r="41" customFormat="false" ht="15.75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27" t="n">
        <v>10</v>
      </c>
      <c r="AJ41" s="28" t="str">
        <f aca="false">IF(LARGE($AN$17:$AN$28,10)&lt;0,"",INDEX($B$17:$B$28,MATCH(LARGE($AN$17:$AN$28,10),$AN$17:$AN$28,0)))</f>
        <v/>
      </c>
      <c r="AK41" s="28"/>
      <c r="AL41" s="28"/>
      <c r="AM41" s="29" t="str">
        <f aca="false">IF(AJ41="","",INDEX($AM$17:$AM$28,MATCH(LARGE($AN$17:$AN$28,10),$AN$17:$AN$28,0)))</f>
        <v/>
      </c>
      <c r="AN41" s="1"/>
      <c r="AO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</row>
    <row r="48" customFormat="false" ht="15" hidden="true" customHeight="false" outlineLevel="0" collapsed="false">
      <c r="A48" s="1"/>
      <c r="B48" s="1"/>
      <c r="C48" s="1" t="str">
        <f aca="false">IF(C$16="","",C$15)</f>
        <v>Su</v>
      </c>
      <c r="D48" s="1" t="str">
        <f aca="false">IF(D$16="","",D$15)</f>
        <v>Mo</v>
      </c>
      <c r="E48" s="1" t="str">
        <f aca="false">IF(E$16="","",E$15)</f>
        <v>Tu</v>
      </c>
      <c r="F48" s="1" t="str">
        <f aca="false">IF(F$16="","",F$15)</f>
        <v>We</v>
      </c>
      <c r="G48" s="1" t="str">
        <f aca="false">IF(G$16="","",G$15)</f>
        <v>Th</v>
      </c>
      <c r="H48" s="1" t="str">
        <f aca="false">IF(H$16="","",H$15)</f>
        <v>Fr</v>
      </c>
      <c r="I48" s="1" t="str">
        <f aca="false">IF(I$16="","",I$15)</f>
        <v>Sa</v>
      </c>
      <c r="J48" s="1" t="str">
        <f aca="false">IF(J$16="","",J$15)</f>
        <v>Su</v>
      </c>
      <c r="K48" s="1" t="str">
        <f aca="false">IF(K$16="","",K$15)</f>
        <v>Mo</v>
      </c>
      <c r="L48" s="1" t="str">
        <f aca="false">IF(L$16="","",L$15)</f>
        <v>Tu</v>
      </c>
      <c r="M48" s="1" t="str">
        <f aca="false">IF(M$16="","",M$15)</f>
        <v>We</v>
      </c>
      <c r="N48" s="1" t="str">
        <f aca="false">IF(N$16="","",N$15)</f>
        <v>Th</v>
      </c>
      <c r="O48" s="1" t="str">
        <f aca="false">IF(O$16="","",O$15)</f>
        <v>Fr</v>
      </c>
      <c r="P48" s="1" t="str">
        <f aca="false">IF(P$16="","",P$15)</f>
        <v>Sa</v>
      </c>
      <c r="Q48" s="1" t="str">
        <f aca="false">IF(Q$16="","",Q$15)</f>
        <v>Su</v>
      </c>
      <c r="R48" s="1" t="str">
        <f aca="false">IF(R$16="","",R$15)</f>
        <v>Mo</v>
      </c>
      <c r="S48" s="1" t="str">
        <f aca="false">IF(S$16="","",S$15)</f>
        <v>Tu</v>
      </c>
      <c r="T48" s="1" t="str">
        <f aca="false">IF(T$16="","",T$15)</f>
        <v>We</v>
      </c>
      <c r="U48" s="1" t="str">
        <f aca="false">IF(U$16="","",U$15)</f>
        <v>Th</v>
      </c>
      <c r="V48" s="1" t="str">
        <f aca="false">IF(V$16="","",V$15)</f>
        <v>Fr</v>
      </c>
      <c r="W48" s="1" t="str">
        <f aca="false">IF(W$16="","",W$15)</f>
        <v>Sa</v>
      </c>
      <c r="X48" s="1" t="str">
        <f aca="false">IF(X$16="","",X$15)</f>
        <v>Su</v>
      </c>
      <c r="Y48" s="1" t="str">
        <f aca="false">IF(Y$16="","",Y$15)</f>
        <v>Mo</v>
      </c>
      <c r="Z48" s="1" t="str">
        <f aca="false">IF(Z$16="","",Z$15)</f>
        <v>Tu</v>
      </c>
      <c r="AA48" s="1" t="str">
        <f aca="false">IF(AA$16="","",AA$15)</f>
        <v>We</v>
      </c>
      <c r="AB48" s="1" t="str">
        <f aca="false">IF(AB$16="","",AB$15)</f>
        <v>Th</v>
      </c>
      <c r="AC48" s="1" t="str">
        <f aca="false">IF(AC$16="","",AC$15)</f>
        <v>Fr</v>
      </c>
      <c r="AD48" s="1" t="str">
        <f aca="false">IF(AD$16="","",AD$15)</f>
        <v>Sa</v>
      </c>
      <c r="AE48" s="1" t="str">
        <f aca="false">IF(AE$16="","",AE$15)</f>
        <v/>
      </c>
      <c r="AF48" s="1" t="str">
        <f aca="false">IF(AF$16="","",AF$15)</f>
        <v/>
      </c>
      <c r="AG48" s="1" t="str">
        <f aca="false">IF(AG$16="","",AG$15)</f>
        <v/>
      </c>
      <c r="AH48" s="1"/>
      <c r="AI48" s="1"/>
      <c r="AJ48" s="1"/>
      <c r="AK48" s="1"/>
      <c r="AL48" s="1"/>
      <c r="AM48" s="1"/>
      <c r="AN48" s="1"/>
      <c r="AO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</row>
  </sheetData>
  <mergeCells count="31">
    <mergeCell ref="B2:B3"/>
    <mergeCell ref="C2:Z2"/>
    <mergeCell ref="AA2:AG2"/>
    <mergeCell ref="AI2:AJ2"/>
    <mergeCell ref="AK2:AM2"/>
    <mergeCell ref="AI3:AJ4"/>
    <mergeCell ref="AK3:AM4"/>
    <mergeCell ref="AI5:AJ5"/>
    <mergeCell ref="AI6:AJ7"/>
    <mergeCell ref="AI8:AJ8"/>
    <mergeCell ref="AI9:AJ10"/>
    <mergeCell ref="B10:B12"/>
    <mergeCell ref="B14:B16"/>
    <mergeCell ref="C14:I14"/>
    <mergeCell ref="J14:P14"/>
    <mergeCell ref="Q14:W14"/>
    <mergeCell ref="X14:AD14"/>
    <mergeCell ref="AE14:AG14"/>
    <mergeCell ref="AI14:AM15"/>
    <mergeCell ref="C31:AG31"/>
    <mergeCell ref="AI31:AM31"/>
    <mergeCell ref="AJ32:AL32"/>
    <mergeCell ref="AJ33:AL33"/>
    <mergeCell ref="AJ34:AL34"/>
    <mergeCell ref="AJ35:AL35"/>
    <mergeCell ref="AJ36:AL36"/>
    <mergeCell ref="AJ37:AL37"/>
    <mergeCell ref="AJ38:AL38"/>
    <mergeCell ref="AJ39:AL39"/>
    <mergeCell ref="AJ40:AL40"/>
    <mergeCell ref="AJ41:AL41"/>
  </mergeCells>
  <conditionalFormatting sqref="C17:AG28">
    <cfRule type="expression" priority="2" aboveAverage="0" equalAverage="0" bottom="0" percent="0" rank="0" text="" dxfId="0">
      <formula>C$16=""</formula>
    </cfRule>
    <cfRule type="expression" priority="3" aboveAverage="0" equalAverage="0" bottom="0" percent="0" rank="0" text="" dxfId="1">
      <formula>C17=1</formula>
    </cfRule>
    <cfRule type="expression" priority="4" aboveAverage="0" equalAverage="0" bottom="0" percent="0" rank="0" text="" dxfId="2">
      <formula>C17=0</formula>
    </cfRule>
  </conditionalFormatting>
  <conditionalFormatting sqref="C32:AG33">
    <cfRule type="expression" priority="5" aboveAverage="0" equalAverage="0" bottom="0" percent="0" rank="0" text="" dxfId="3">
      <formula>C$16=""</formula>
    </cfRule>
  </conditionalFormatting>
  <conditionalFormatting sqref="AL17:AL28">
    <cfRule type="dataBar" priority="6">
      <dataBar showValue="1" minLength="10" maxLength="90">
        <cfvo type="num" val="0"/>
        <cfvo type="num" val="1"/>
        <color rgb="FF1F2433"/>
      </dataBar>
      <extLst>
        <ext xmlns:x14="http://schemas.microsoft.com/office/spreadsheetml/2009/9/main" uri="{B025F937-C7B1-47D3-B67F-A62EFF666E3E}">
          <x14:id>{EBD4F23C-119D-4623-A3DC-82759AA154C3}</x14:id>
        </ext>
      </extLst>
    </cfRule>
  </conditionalFormatting>
  <dataValidations count="4">
    <dataValidation allowBlank="false" errorStyle="stop" operator="between" showDropDown="false" showErrorMessage="false" showInputMessage="false" sqref="B9" type="list">
      <formula1>"January,February,March,April,May,June,July,August,September,October,November,December"</formula1>
      <formula2>0</formula2>
    </dataValidation>
    <dataValidation allowBlank="true" errorStyle="stop" operator="between" showDropDown="false" showErrorMessage="false" showInputMessage="false" sqref="C17:AG28" type="list">
      <formula1>"TRUE,FALSE"</formula1>
      <formula2>0</formula2>
    </dataValidation>
    <dataValidation allowBlank="true" errorStyle="stop" operator="between" showDropDown="false" showErrorMessage="false" showInputMessage="false" sqref="C32:AG32" type="list">
      <formula1>"1,2,3,4,5,6,7,8,9,10"</formula1>
      <formula2>0</formula2>
    </dataValidation>
    <dataValidation allowBlank="true" errorStyle="stop" operator="between" showDropDown="false" showErrorMessage="false" showInputMessage="false" sqref="C33:AG33" type="list">
      <formula1>"0,1,2,3,4,5,6,7,8,9,10,11,12"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BD4F23C-119D-4623-A3DC-82759AA154C3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1F2433"/>
              <x14:axisColor rgb="FF000000"/>
            </x14:dataBar>
          </x14:cfRule>
          <xm:sqref>AL17:AL28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433"/>
    <pageSetUpPr fitToPage="false"/>
  </sheetPr>
  <dimension ref="A1:AQ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0" topLeftCell="C1" activePane="topRight" state="frozen"/>
      <selection pane="topLeft" activeCell="A1" activeCellId="0" sqref="A1"/>
      <selection pane="top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3" min="3" style="0" width="3.9"/>
    <col collapsed="false" customWidth="true" hidden="false" outlineLevel="0" max="34" min="34" style="0" width="2"/>
    <col collapsed="false" customWidth="true" hidden="false" outlineLevel="0" max="36" min="35" style="0" width="8"/>
    <col collapsed="false" customWidth="true" hidden="false" outlineLevel="0" max="37" min="37" style="0" width="7"/>
    <col collapsed="false" customWidth="true" hidden="false" outlineLevel="0" max="38" min="38" style="0" width="14"/>
    <col collapsed="false" customWidth="true" hidden="false" outlineLevel="0" max="39" min="39" style="0" width="8"/>
    <col collapsed="false" customWidth="true" hidden="true" outlineLevel="0" max="43" min="40" style="0" width="13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Q1" s="2" t="s">
        <v>0</v>
      </c>
    </row>
    <row r="2" customFormat="false" ht="21.75" hidden="false" customHeight="true" outlineLevel="0" collapsed="false">
      <c r="A2" s="1"/>
      <c r="B2" s="3" t="s">
        <v>1</v>
      </c>
      <c r="C2" s="4" t="s">
        <v>2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 t="s">
        <v>3</v>
      </c>
      <c r="AB2" s="4"/>
      <c r="AC2" s="4"/>
      <c r="AD2" s="4"/>
      <c r="AE2" s="4"/>
      <c r="AF2" s="4"/>
      <c r="AG2" s="4"/>
      <c r="AH2" s="1"/>
      <c r="AI2" s="4" t="s">
        <v>4</v>
      </c>
      <c r="AJ2" s="4"/>
      <c r="AK2" s="4" t="s">
        <v>5</v>
      </c>
      <c r="AL2" s="4"/>
      <c r="AM2" s="4"/>
      <c r="AN2" s="1"/>
      <c r="AO2" s="1" t="s">
        <v>6</v>
      </c>
      <c r="AP2" s="2" t="n">
        <f aca="false">MATCH($B$9,$AQ$1:$AQ$12,0)</f>
        <v>3</v>
      </c>
      <c r="AQ2" s="2" t="s">
        <v>7</v>
      </c>
    </row>
    <row r="3" customFormat="false" ht="15.75" hidden="false" customHeight="true" outlineLevel="0" collapsed="false">
      <c r="A3" s="1"/>
      <c r="B3" s="3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5" t="n">
        <f aca="false">SUMPRODUCT(--(LEN($B$17:$B$28)&gt;0))*$AP$3</f>
        <v>310</v>
      </c>
      <c r="AJ3" s="5"/>
      <c r="AK3" s="6" t="n">
        <f aca="false">IF(AI3=0,0,AI6/AI3)</f>
        <v>0</v>
      </c>
      <c r="AL3" s="6"/>
      <c r="AM3" s="6"/>
      <c r="AN3" s="1"/>
      <c r="AO3" s="1" t="s">
        <v>8</v>
      </c>
      <c r="AP3" s="2" t="n">
        <f aca="false">DAY(DATE($B$7,$AP$2+1,0))</f>
        <v>31</v>
      </c>
      <c r="AQ3" s="2" t="s">
        <v>9</v>
      </c>
    </row>
    <row r="4" customFormat="false" ht="15.7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5"/>
      <c r="AJ4" s="5"/>
      <c r="AK4" s="6"/>
      <c r="AL4" s="6"/>
      <c r="AM4" s="6"/>
      <c r="AN4" s="1"/>
      <c r="AO4" s="1"/>
      <c r="AQ4" s="2" t="s">
        <v>10</v>
      </c>
    </row>
    <row r="5" customFormat="false" ht="15.75" hidden="false" customHeight="true" outlineLevel="0" collapsed="false">
      <c r="A5" s="1"/>
      <c r="B5" s="7" t="s">
        <v>11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4" t="s">
        <v>12</v>
      </c>
      <c r="AJ5" s="4"/>
      <c r="AK5" s="1"/>
      <c r="AL5" s="1"/>
      <c r="AM5" s="1"/>
      <c r="AN5" s="1"/>
      <c r="AO5" s="1" t="s">
        <v>12</v>
      </c>
      <c r="AP5" s="2" t="n">
        <f aca="false">AI6</f>
        <v>0</v>
      </c>
      <c r="AQ5" s="2" t="s">
        <v>13</v>
      </c>
    </row>
    <row r="6" customFormat="false" ht="15.75" hidden="false" customHeight="true" outlineLevel="0" collapsed="false">
      <c r="A6" s="1"/>
      <c r="B6" s="8" t="s">
        <v>14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5" t="n">
        <f aca="false">SUMPRODUCT(($B$17:$B$28&lt;&gt;"")*($C$17:$AG$28=TRUE()))</f>
        <v>0</v>
      </c>
      <c r="AJ6" s="5"/>
      <c r="AK6" s="1"/>
      <c r="AL6" s="1"/>
      <c r="AM6" s="1"/>
      <c r="AN6" s="1"/>
      <c r="AO6" s="1" t="s">
        <v>15</v>
      </c>
      <c r="AP6" s="2" t="n">
        <f aca="false">AI9</f>
        <v>310</v>
      </c>
      <c r="AQ6" s="2" t="s">
        <v>16</v>
      </c>
    </row>
    <row r="7" customFormat="false" ht="15.75" hidden="false" customHeight="true" outlineLevel="0" collapsed="false">
      <c r="A7" s="1"/>
      <c r="B7" s="30" t="n">
        <f aca="false">January!$B$7</f>
        <v>2026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5"/>
      <c r="AJ7" s="5"/>
      <c r="AK7" s="1"/>
      <c r="AL7" s="1"/>
      <c r="AM7" s="1"/>
      <c r="AN7" s="1"/>
      <c r="AO7" s="1"/>
      <c r="AQ7" s="2" t="s">
        <v>17</v>
      </c>
    </row>
    <row r="8" customFormat="false" ht="15.75" hidden="false" customHeight="true" outlineLevel="0" collapsed="false">
      <c r="A8" s="1"/>
      <c r="B8" s="8" t="s">
        <v>18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4" t="s">
        <v>15</v>
      </c>
      <c r="AJ8" s="4"/>
      <c r="AK8" s="1"/>
      <c r="AL8" s="1"/>
      <c r="AM8" s="1"/>
      <c r="AN8" s="1"/>
      <c r="AO8" s="1" t="s">
        <v>19</v>
      </c>
      <c r="AP8" s="2" t="n">
        <f aca="false">IF(OR(COUNTIF(C$16:I$16,"&gt;0")=0,SUMPRODUCT(--(LEN($B$17:$B$28)&gt;0))=0),0,SUMPRODUCT(($B$17:$B$28&lt;&gt;"")*(C$17:I$28=TRUE()))/(SUMPRODUCT(--(LEN($B$17:$B$28)&gt;0))*COUNTIF(C$16:I$16,"&gt;0")))</f>
        <v>0</v>
      </c>
      <c r="AQ8" s="2" t="s">
        <v>20</v>
      </c>
    </row>
    <row r="9" customFormat="false" ht="15.75" hidden="false" customHeight="true" outlineLevel="0" collapsed="false">
      <c r="A9" s="1"/>
      <c r="B9" s="9" t="s">
        <v>9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5" t="n">
        <f aca="false">AI3-AI6</f>
        <v>310</v>
      </c>
      <c r="AJ9" s="5"/>
      <c r="AK9" s="1"/>
      <c r="AL9" s="1"/>
      <c r="AM9" s="1"/>
      <c r="AN9" s="1"/>
      <c r="AO9" s="1" t="s">
        <v>21</v>
      </c>
      <c r="AP9" s="2" t="n">
        <f aca="false">IF(OR(COUNTIF(J$16:P$16,"&gt;0")=0,SUMPRODUCT(--(LEN($B$17:$B$28)&gt;0))=0),0,SUMPRODUCT(($B$17:$B$28&lt;&gt;"")*(J$17:P$28=TRUE()))/(SUMPRODUCT(--(LEN($B$17:$B$28)&gt;0))*COUNTIF(J$16:P$16,"&gt;0")))</f>
        <v>0</v>
      </c>
      <c r="AQ9" s="2" t="s">
        <v>22</v>
      </c>
    </row>
    <row r="10" customFormat="false" ht="15.75" hidden="false" customHeight="true" outlineLevel="0" collapsed="false">
      <c r="A10" s="1"/>
      <c r="B10" s="10" t="s">
        <v>23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5"/>
      <c r="AJ10" s="5"/>
      <c r="AK10" s="1"/>
      <c r="AL10" s="1"/>
      <c r="AM10" s="1"/>
      <c r="AN10" s="1"/>
      <c r="AO10" s="1" t="s">
        <v>24</v>
      </c>
      <c r="AP10" s="2" t="n">
        <f aca="false">IF(OR(COUNTIF(Q$16:W$16,"&gt;0")=0,SUMPRODUCT(--(LEN($B$17:$B$28)&gt;0))=0),0,SUMPRODUCT(($B$17:$B$28&lt;&gt;"")*(Q$17:W$28=TRUE()))/(SUMPRODUCT(--(LEN($B$17:$B$28)&gt;0))*COUNTIF(Q$16:W$16,"&gt;0")))</f>
        <v>0</v>
      </c>
      <c r="AQ10" s="2" t="s">
        <v>25</v>
      </c>
    </row>
    <row r="11" customFormat="false" ht="15.75" hidden="false" customHeight="true" outlineLevel="0" collapsed="false">
      <c r="A11" s="1"/>
      <c r="B11" s="10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 t="s">
        <v>26</v>
      </c>
      <c r="AP11" s="2" t="n">
        <f aca="false">IF(OR(COUNTIF(X$16:AD$16,"&gt;0")=0,SUMPRODUCT(--(LEN($B$17:$B$28)&gt;0))=0),0,SUMPRODUCT(($B$17:$B$28&lt;&gt;"")*(X$17:AD$28=TRUE()))/(SUMPRODUCT(--(LEN($B$17:$B$28)&gt;0))*COUNTIF(X$16:AD$16,"&gt;0")))</f>
        <v>0</v>
      </c>
      <c r="AQ11" s="2" t="s">
        <v>27</v>
      </c>
    </row>
    <row r="12" customFormat="false" ht="15.75" hidden="false" customHeight="true" outlineLevel="0" collapsed="false">
      <c r="A12" s="1"/>
      <c r="B12" s="10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 t="s">
        <v>28</v>
      </c>
      <c r="AP12" s="2" t="n">
        <f aca="false">IF(OR(COUNTIF(AE$16:AG$16,"&gt;0")=0,SUMPRODUCT(--(LEN($B$17:$B$28)&gt;0))=0),0,SUMPRODUCT(($B$17:$B$28&lt;&gt;"")*(AE$17:AG$28=TRUE()))/(SUMPRODUCT(--(LEN($B$17:$B$28)&gt;0))*COUNTIF(AE$16:AG$16,"&gt;0")))</f>
        <v>0</v>
      </c>
      <c r="AQ12" s="2" t="s">
        <v>29</v>
      </c>
    </row>
    <row r="13" customFormat="false" ht="15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</row>
    <row r="14" customFormat="false" ht="15" hidden="false" customHeight="false" outlineLevel="0" collapsed="false">
      <c r="A14" s="1"/>
      <c r="B14" s="11" t="s">
        <v>30</v>
      </c>
      <c r="C14" s="12" t="s">
        <v>19</v>
      </c>
      <c r="D14" s="12"/>
      <c r="E14" s="12"/>
      <c r="F14" s="12"/>
      <c r="G14" s="12"/>
      <c r="H14" s="12"/>
      <c r="I14" s="12"/>
      <c r="J14" s="12" t="s">
        <v>21</v>
      </c>
      <c r="K14" s="12"/>
      <c r="L14" s="12"/>
      <c r="M14" s="12"/>
      <c r="N14" s="12"/>
      <c r="O14" s="12"/>
      <c r="P14" s="12"/>
      <c r="Q14" s="12" t="s">
        <v>24</v>
      </c>
      <c r="R14" s="12"/>
      <c r="S14" s="12"/>
      <c r="T14" s="12"/>
      <c r="U14" s="12"/>
      <c r="V14" s="12"/>
      <c r="W14" s="12"/>
      <c r="X14" s="12" t="s">
        <v>26</v>
      </c>
      <c r="Y14" s="12"/>
      <c r="Z14" s="12"/>
      <c r="AA14" s="12"/>
      <c r="AB14" s="12"/>
      <c r="AC14" s="12"/>
      <c r="AD14" s="12"/>
      <c r="AE14" s="12" t="s">
        <v>28</v>
      </c>
      <c r="AF14" s="12"/>
      <c r="AG14" s="12"/>
      <c r="AH14" s="1"/>
      <c r="AI14" s="13" t="s">
        <v>31</v>
      </c>
      <c r="AJ14" s="13"/>
      <c r="AK14" s="13"/>
      <c r="AL14" s="13"/>
      <c r="AM14" s="13"/>
      <c r="AN14" s="1"/>
      <c r="AO14" s="1"/>
    </row>
    <row r="15" customFormat="false" ht="15" hidden="false" customHeight="false" outlineLevel="0" collapsed="false">
      <c r="A15" s="1"/>
      <c r="B15" s="11"/>
      <c r="C15" s="14" t="str">
        <f aca="false">IF(1&gt;$AP$3,"",CHOOSE(WEEKDAY(DATE($B$7,$AP$2,1)),"Su","Mo","Tu","We","Th","Fr","Sa"))</f>
        <v>Su</v>
      </c>
      <c r="D15" s="14" t="str">
        <f aca="false">IF(2&gt;$AP$3,"",CHOOSE(WEEKDAY(DATE($B$7,$AP$2,2)),"Su","Mo","Tu","We","Th","Fr","Sa"))</f>
        <v>Mo</v>
      </c>
      <c r="E15" s="14" t="str">
        <f aca="false">IF(3&gt;$AP$3,"",CHOOSE(WEEKDAY(DATE($B$7,$AP$2,3)),"Su","Mo","Tu","We","Th","Fr","Sa"))</f>
        <v>Tu</v>
      </c>
      <c r="F15" s="14" t="str">
        <f aca="false">IF(4&gt;$AP$3,"",CHOOSE(WEEKDAY(DATE($B$7,$AP$2,4)),"Su","Mo","Tu","We","Th","Fr","Sa"))</f>
        <v>We</v>
      </c>
      <c r="G15" s="14" t="str">
        <f aca="false">IF(5&gt;$AP$3,"",CHOOSE(WEEKDAY(DATE($B$7,$AP$2,5)),"Su","Mo","Tu","We","Th","Fr","Sa"))</f>
        <v>Th</v>
      </c>
      <c r="H15" s="14" t="str">
        <f aca="false">IF(6&gt;$AP$3,"",CHOOSE(WEEKDAY(DATE($B$7,$AP$2,6)),"Su","Mo","Tu","We","Th","Fr","Sa"))</f>
        <v>Fr</v>
      </c>
      <c r="I15" s="14" t="str">
        <f aca="false">IF(7&gt;$AP$3,"",CHOOSE(WEEKDAY(DATE($B$7,$AP$2,7)),"Su","Mo","Tu","We","Th","Fr","Sa"))</f>
        <v>Sa</v>
      </c>
      <c r="J15" s="14" t="str">
        <f aca="false">IF(8&gt;$AP$3,"",CHOOSE(WEEKDAY(DATE($B$7,$AP$2,8)),"Su","Mo","Tu","We","Th","Fr","Sa"))</f>
        <v>Su</v>
      </c>
      <c r="K15" s="14" t="str">
        <f aca="false">IF(9&gt;$AP$3,"",CHOOSE(WEEKDAY(DATE($B$7,$AP$2,9)),"Su","Mo","Tu","We","Th","Fr","Sa"))</f>
        <v>Mo</v>
      </c>
      <c r="L15" s="14" t="str">
        <f aca="false">IF(10&gt;$AP$3,"",CHOOSE(WEEKDAY(DATE($B$7,$AP$2,10)),"Su","Mo","Tu","We","Th","Fr","Sa"))</f>
        <v>Tu</v>
      </c>
      <c r="M15" s="14" t="str">
        <f aca="false">IF(11&gt;$AP$3,"",CHOOSE(WEEKDAY(DATE($B$7,$AP$2,11)),"Su","Mo","Tu","We","Th","Fr","Sa"))</f>
        <v>We</v>
      </c>
      <c r="N15" s="14" t="str">
        <f aca="false">IF(12&gt;$AP$3,"",CHOOSE(WEEKDAY(DATE($B$7,$AP$2,12)),"Su","Mo","Tu","We","Th","Fr","Sa"))</f>
        <v>Th</v>
      </c>
      <c r="O15" s="14" t="str">
        <f aca="false">IF(13&gt;$AP$3,"",CHOOSE(WEEKDAY(DATE($B$7,$AP$2,13)),"Su","Mo","Tu","We","Th","Fr","Sa"))</f>
        <v>Fr</v>
      </c>
      <c r="P15" s="14" t="str">
        <f aca="false">IF(14&gt;$AP$3,"",CHOOSE(WEEKDAY(DATE($B$7,$AP$2,14)),"Su","Mo","Tu","We","Th","Fr","Sa"))</f>
        <v>Sa</v>
      </c>
      <c r="Q15" s="14" t="str">
        <f aca="false">IF(15&gt;$AP$3,"",CHOOSE(WEEKDAY(DATE($B$7,$AP$2,15)),"Su","Mo","Tu","We","Th","Fr","Sa"))</f>
        <v>Su</v>
      </c>
      <c r="R15" s="14" t="str">
        <f aca="false">IF(16&gt;$AP$3,"",CHOOSE(WEEKDAY(DATE($B$7,$AP$2,16)),"Su","Mo","Tu","We","Th","Fr","Sa"))</f>
        <v>Mo</v>
      </c>
      <c r="S15" s="14" t="str">
        <f aca="false">IF(17&gt;$AP$3,"",CHOOSE(WEEKDAY(DATE($B$7,$AP$2,17)),"Su","Mo","Tu","We","Th","Fr","Sa"))</f>
        <v>Tu</v>
      </c>
      <c r="T15" s="14" t="str">
        <f aca="false">IF(18&gt;$AP$3,"",CHOOSE(WEEKDAY(DATE($B$7,$AP$2,18)),"Su","Mo","Tu","We","Th","Fr","Sa"))</f>
        <v>We</v>
      </c>
      <c r="U15" s="14" t="str">
        <f aca="false">IF(19&gt;$AP$3,"",CHOOSE(WEEKDAY(DATE($B$7,$AP$2,19)),"Su","Mo","Tu","We","Th","Fr","Sa"))</f>
        <v>Th</v>
      </c>
      <c r="V15" s="14" t="str">
        <f aca="false">IF(20&gt;$AP$3,"",CHOOSE(WEEKDAY(DATE($B$7,$AP$2,20)),"Su","Mo","Tu","We","Th","Fr","Sa"))</f>
        <v>Fr</v>
      </c>
      <c r="W15" s="14" t="str">
        <f aca="false">IF(21&gt;$AP$3,"",CHOOSE(WEEKDAY(DATE($B$7,$AP$2,21)),"Su","Mo","Tu","We","Th","Fr","Sa"))</f>
        <v>Sa</v>
      </c>
      <c r="X15" s="14" t="str">
        <f aca="false">IF(22&gt;$AP$3,"",CHOOSE(WEEKDAY(DATE($B$7,$AP$2,22)),"Su","Mo","Tu","We","Th","Fr","Sa"))</f>
        <v>Su</v>
      </c>
      <c r="Y15" s="14" t="str">
        <f aca="false">IF(23&gt;$AP$3,"",CHOOSE(WEEKDAY(DATE($B$7,$AP$2,23)),"Su","Mo","Tu","We","Th","Fr","Sa"))</f>
        <v>Mo</v>
      </c>
      <c r="Z15" s="14" t="str">
        <f aca="false">IF(24&gt;$AP$3,"",CHOOSE(WEEKDAY(DATE($B$7,$AP$2,24)),"Su","Mo","Tu","We","Th","Fr","Sa"))</f>
        <v>Tu</v>
      </c>
      <c r="AA15" s="14" t="str">
        <f aca="false">IF(25&gt;$AP$3,"",CHOOSE(WEEKDAY(DATE($B$7,$AP$2,25)),"Su","Mo","Tu","We","Th","Fr","Sa"))</f>
        <v>We</v>
      </c>
      <c r="AB15" s="14" t="str">
        <f aca="false">IF(26&gt;$AP$3,"",CHOOSE(WEEKDAY(DATE($B$7,$AP$2,26)),"Su","Mo","Tu","We","Th","Fr","Sa"))</f>
        <v>Th</v>
      </c>
      <c r="AC15" s="14" t="str">
        <f aca="false">IF(27&gt;$AP$3,"",CHOOSE(WEEKDAY(DATE($B$7,$AP$2,27)),"Su","Mo","Tu","We","Th","Fr","Sa"))</f>
        <v>Fr</v>
      </c>
      <c r="AD15" s="14" t="str">
        <f aca="false">IF(28&gt;$AP$3,"",CHOOSE(WEEKDAY(DATE($B$7,$AP$2,28)),"Su","Mo","Tu","We","Th","Fr","Sa"))</f>
        <v>Sa</v>
      </c>
      <c r="AE15" s="14" t="str">
        <f aca="false">IF(29&gt;$AP$3,"",CHOOSE(WEEKDAY(DATE($B$7,$AP$2,29)),"Su","Mo","Tu","We","Th","Fr","Sa"))</f>
        <v>Su</v>
      </c>
      <c r="AF15" s="14" t="str">
        <f aca="false">IF(30&gt;$AP$3,"",CHOOSE(WEEKDAY(DATE($B$7,$AP$2,30)),"Su","Mo","Tu","We","Th","Fr","Sa"))</f>
        <v>Mo</v>
      </c>
      <c r="AG15" s="14" t="str">
        <f aca="false">IF(31&gt;$AP$3,"",CHOOSE(WEEKDAY(DATE($B$7,$AP$2,31)),"Su","Mo","Tu","We","Th","Fr","Sa"))</f>
        <v>Tu</v>
      </c>
      <c r="AH15" s="1"/>
      <c r="AI15" s="13"/>
      <c r="AJ15" s="13"/>
      <c r="AK15" s="13"/>
      <c r="AL15" s="13"/>
      <c r="AM15" s="13"/>
      <c r="AN15" s="1"/>
      <c r="AO15" s="1"/>
    </row>
    <row r="16" customFormat="false" ht="15" hidden="false" customHeight="false" outlineLevel="0" collapsed="false">
      <c r="A16" s="1"/>
      <c r="B16" s="11"/>
      <c r="C16" s="14" t="n">
        <f aca="false">IF(1&gt;$AP$3,"",1)</f>
        <v>1</v>
      </c>
      <c r="D16" s="14" t="n">
        <f aca="false">IF(2&gt;$AP$3,"",2)</f>
        <v>2</v>
      </c>
      <c r="E16" s="14" t="n">
        <f aca="false">IF(3&gt;$AP$3,"",3)</f>
        <v>3</v>
      </c>
      <c r="F16" s="14" t="n">
        <f aca="false">IF(4&gt;$AP$3,"",4)</f>
        <v>4</v>
      </c>
      <c r="G16" s="14" t="n">
        <f aca="false">IF(5&gt;$AP$3,"",5)</f>
        <v>5</v>
      </c>
      <c r="H16" s="14" t="n">
        <f aca="false">IF(6&gt;$AP$3,"",6)</f>
        <v>6</v>
      </c>
      <c r="I16" s="14" t="n">
        <f aca="false">IF(7&gt;$AP$3,"",7)</f>
        <v>7</v>
      </c>
      <c r="J16" s="14" t="n">
        <f aca="false">IF(8&gt;$AP$3,"",8)</f>
        <v>8</v>
      </c>
      <c r="K16" s="14" t="n">
        <f aca="false">IF(9&gt;$AP$3,"",9)</f>
        <v>9</v>
      </c>
      <c r="L16" s="14" t="n">
        <f aca="false">IF(10&gt;$AP$3,"",10)</f>
        <v>10</v>
      </c>
      <c r="M16" s="14" t="n">
        <f aca="false">IF(11&gt;$AP$3,"",11)</f>
        <v>11</v>
      </c>
      <c r="N16" s="14" t="n">
        <f aca="false">IF(12&gt;$AP$3,"",12)</f>
        <v>12</v>
      </c>
      <c r="O16" s="14" t="n">
        <f aca="false">IF(13&gt;$AP$3,"",13)</f>
        <v>13</v>
      </c>
      <c r="P16" s="14" t="n">
        <f aca="false">IF(14&gt;$AP$3,"",14)</f>
        <v>14</v>
      </c>
      <c r="Q16" s="14" t="n">
        <f aca="false">IF(15&gt;$AP$3,"",15)</f>
        <v>15</v>
      </c>
      <c r="R16" s="14" t="n">
        <f aca="false">IF(16&gt;$AP$3,"",16)</f>
        <v>16</v>
      </c>
      <c r="S16" s="14" t="n">
        <f aca="false">IF(17&gt;$AP$3,"",17)</f>
        <v>17</v>
      </c>
      <c r="T16" s="14" t="n">
        <f aca="false">IF(18&gt;$AP$3,"",18)</f>
        <v>18</v>
      </c>
      <c r="U16" s="14" t="n">
        <f aca="false">IF(19&gt;$AP$3,"",19)</f>
        <v>19</v>
      </c>
      <c r="V16" s="14" t="n">
        <f aca="false">IF(20&gt;$AP$3,"",20)</f>
        <v>20</v>
      </c>
      <c r="W16" s="14" t="n">
        <f aca="false">IF(21&gt;$AP$3,"",21)</f>
        <v>21</v>
      </c>
      <c r="X16" s="14" t="n">
        <f aca="false">IF(22&gt;$AP$3,"",22)</f>
        <v>22</v>
      </c>
      <c r="Y16" s="14" t="n">
        <f aca="false">IF(23&gt;$AP$3,"",23)</f>
        <v>23</v>
      </c>
      <c r="Z16" s="14" t="n">
        <f aca="false">IF(24&gt;$AP$3,"",24)</f>
        <v>24</v>
      </c>
      <c r="AA16" s="14" t="n">
        <f aca="false">IF(25&gt;$AP$3,"",25)</f>
        <v>25</v>
      </c>
      <c r="AB16" s="14" t="n">
        <f aca="false">IF(26&gt;$AP$3,"",26)</f>
        <v>26</v>
      </c>
      <c r="AC16" s="14" t="n">
        <f aca="false">IF(27&gt;$AP$3,"",27)</f>
        <v>27</v>
      </c>
      <c r="AD16" s="14" t="n">
        <f aca="false">IF(28&gt;$AP$3,"",28)</f>
        <v>28</v>
      </c>
      <c r="AE16" s="14" t="n">
        <f aca="false">IF(29&gt;$AP$3,"",29)</f>
        <v>29</v>
      </c>
      <c r="AF16" s="14" t="n">
        <f aca="false">IF(30&gt;$AP$3,"",30)</f>
        <v>30</v>
      </c>
      <c r="AG16" s="14" t="n">
        <f aca="false">IF(31&gt;$AP$3,"",31)</f>
        <v>31</v>
      </c>
      <c r="AH16" s="1"/>
      <c r="AI16" s="15" t="s">
        <v>4</v>
      </c>
      <c r="AJ16" s="15" t="s">
        <v>32</v>
      </c>
      <c r="AK16" s="15" t="s">
        <v>15</v>
      </c>
      <c r="AL16" s="15" t="s">
        <v>33</v>
      </c>
      <c r="AM16" s="15" t="s">
        <v>34</v>
      </c>
      <c r="AN16" s="1"/>
      <c r="AO16" s="1"/>
    </row>
    <row r="17" customFormat="false" ht="18" hidden="false" customHeight="true" outlineLevel="0" collapsed="false">
      <c r="A17" s="1"/>
      <c r="B17" s="16" t="s">
        <v>35</v>
      </c>
      <c r="C17" s="17" t="b">
        <f aca="false">FALSE()</f>
        <v>0</v>
      </c>
      <c r="D17" s="17" t="b">
        <f aca="false">FALSE()</f>
        <v>0</v>
      </c>
      <c r="E17" s="17" t="b">
        <f aca="false">FALSE()</f>
        <v>0</v>
      </c>
      <c r="F17" s="17" t="b">
        <f aca="false">FALSE()</f>
        <v>0</v>
      </c>
      <c r="G17" s="17" t="b">
        <f aca="false">FALSE()</f>
        <v>0</v>
      </c>
      <c r="H17" s="17" t="b">
        <f aca="false">FALSE()</f>
        <v>0</v>
      </c>
      <c r="I17" s="17" t="b">
        <f aca="false">FALSE()</f>
        <v>0</v>
      </c>
      <c r="J17" s="17" t="b">
        <f aca="false">FALSE()</f>
        <v>0</v>
      </c>
      <c r="K17" s="17" t="b">
        <f aca="false">FALSE()</f>
        <v>0</v>
      </c>
      <c r="L17" s="17" t="b">
        <f aca="false">FALSE()</f>
        <v>0</v>
      </c>
      <c r="M17" s="17" t="b">
        <f aca="false">FALSE()</f>
        <v>0</v>
      </c>
      <c r="N17" s="17" t="b">
        <f aca="false">FALSE()</f>
        <v>0</v>
      </c>
      <c r="O17" s="17" t="b">
        <f aca="false">FALSE()</f>
        <v>0</v>
      </c>
      <c r="P17" s="17" t="b">
        <f aca="false">FALSE()</f>
        <v>0</v>
      </c>
      <c r="Q17" s="17" t="b">
        <f aca="false">FALSE()</f>
        <v>0</v>
      </c>
      <c r="R17" s="17" t="b">
        <f aca="false">FALSE()</f>
        <v>0</v>
      </c>
      <c r="S17" s="17" t="b">
        <f aca="false">FALSE()</f>
        <v>0</v>
      </c>
      <c r="T17" s="17" t="b">
        <f aca="false">FALSE()</f>
        <v>0</v>
      </c>
      <c r="U17" s="17" t="b">
        <f aca="false">FALSE()</f>
        <v>0</v>
      </c>
      <c r="V17" s="17" t="b">
        <f aca="false">FALSE()</f>
        <v>0</v>
      </c>
      <c r="W17" s="17" t="b">
        <f aca="false">FALSE()</f>
        <v>0</v>
      </c>
      <c r="X17" s="17" t="b">
        <f aca="false">FALSE()</f>
        <v>0</v>
      </c>
      <c r="Y17" s="17" t="b">
        <f aca="false">FALSE()</f>
        <v>0</v>
      </c>
      <c r="Z17" s="17" t="b">
        <f aca="false">FALSE()</f>
        <v>0</v>
      </c>
      <c r="AA17" s="17" t="b">
        <f aca="false">FALSE()</f>
        <v>0</v>
      </c>
      <c r="AB17" s="17" t="b">
        <f aca="false">FALSE()</f>
        <v>0</v>
      </c>
      <c r="AC17" s="17" t="b">
        <f aca="false">FALSE()</f>
        <v>0</v>
      </c>
      <c r="AD17" s="17" t="b">
        <f aca="false">FALSE()</f>
        <v>0</v>
      </c>
      <c r="AE17" s="17" t="b">
        <f aca="false">FALSE()</f>
        <v>0</v>
      </c>
      <c r="AF17" s="17" t="b">
        <f aca="false">FALSE()</f>
        <v>0</v>
      </c>
      <c r="AG17" s="17" t="b">
        <f aca="false">FALSE()</f>
        <v>0</v>
      </c>
      <c r="AH17" s="1"/>
      <c r="AI17" s="18" t="n">
        <f aca="false">IF($B17="","",$AP$3)</f>
        <v>31</v>
      </c>
      <c r="AJ17" s="18" t="n">
        <f aca="false">IF($B17="","",COUNTIF(C17:AG17,TRUE()))</f>
        <v>0</v>
      </c>
      <c r="AK17" s="18" t="n">
        <f aca="false">IF($B17="","",AI17-AJ17)</f>
        <v>31</v>
      </c>
      <c r="AL17" s="19" t="n">
        <f aca="false">IF($B17="","",AJ17/AI17)</f>
        <v>0</v>
      </c>
      <c r="AM17" s="20" t="n">
        <f aca="false">IF($B17="","",AJ17/AI17)</f>
        <v>0</v>
      </c>
      <c r="AN17" s="21" t="n">
        <f aca="false">IF($B17="",-1,AM17-ROW()/100000)</f>
        <v>-0.00017</v>
      </c>
      <c r="AO17" s="1"/>
    </row>
    <row r="18" customFormat="false" ht="18" hidden="false" customHeight="true" outlineLevel="0" collapsed="false">
      <c r="A18" s="1"/>
      <c r="B18" s="16" t="s">
        <v>36</v>
      </c>
      <c r="C18" s="17" t="b">
        <f aca="false">FALSE()</f>
        <v>0</v>
      </c>
      <c r="D18" s="17" t="b">
        <f aca="false">FALSE()</f>
        <v>0</v>
      </c>
      <c r="E18" s="17" t="b">
        <f aca="false">FALSE()</f>
        <v>0</v>
      </c>
      <c r="F18" s="17" t="b">
        <f aca="false">FALSE()</f>
        <v>0</v>
      </c>
      <c r="G18" s="17" t="b">
        <f aca="false">FALSE()</f>
        <v>0</v>
      </c>
      <c r="H18" s="17" t="b">
        <f aca="false">FALSE()</f>
        <v>0</v>
      </c>
      <c r="I18" s="17" t="b">
        <f aca="false">FALSE()</f>
        <v>0</v>
      </c>
      <c r="J18" s="17" t="b">
        <f aca="false">FALSE()</f>
        <v>0</v>
      </c>
      <c r="K18" s="17" t="b">
        <f aca="false">FALSE()</f>
        <v>0</v>
      </c>
      <c r="L18" s="17" t="b">
        <f aca="false">FALSE()</f>
        <v>0</v>
      </c>
      <c r="M18" s="17" t="b">
        <f aca="false">FALSE()</f>
        <v>0</v>
      </c>
      <c r="N18" s="17" t="b">
        <f aca="false">FALSE()</f>
        <v>0</v>
      </c>
      <c r="O18" s="17" t="b">
        <f aca="false">FALSE()</f>
        <v>0</v>
      </c>
      <c r="P18" s="17" t="b">
        <f aca="false">FALSE()</f>
        <v>0</v>
      </c>
      <c r="Q18" s="17" t="b">
        <f aca="false">FALSE()</f>
        <v>0</v>
      </c>
      <c r="R18" s="17" t="b">
        <f aca="false">FALSE()</f>
        <v>0</v>
      </c>
      <c r="S18" s="17" t="b">
        <f aca="false">FALSE()</f>
        <v>0</v>
      </c>
      <c r="T18" s="17" t="b">
        <f aca="false">FALSE()</f>
        <v>0</v>
      </c>
      <c r="U18" s="17" t="b">
        <f aca="false">FALSE()</f>
        <v>0</v>
      </c>
      <c r="V18" s="17" t="b">
        <f aca="false">FALSE()</f>
        <v>0</v>
      </c>
      <c r="W18" s="17" t="b">
        <f aca="false">FALSE()</f>
        <v>0</v>
      </c>
      <c r="X18" s="17" t="b">
        <f aca="false">FALSE()</f>
        <v>0</v>
      </c>
      <c r="Y18" s="17" t="b">
        <f aca="false">FALSE()</f>
        <v>0</v>
      </c>
      <c r="Z18" s="17" t="b">
        <f aca="false">FALSE()</f>
        <v>0</v>
      </c>
      <c r="AA18" s="17" t="b">
        <f aca="false">FALSE()</f>
        <v>0</v>
      </c>
      <c r="AB18" s="17" t="b">
        <f aca="false">FALSE()</f>
        <v>0</v>
      </c>
      <c r="AC18" s="17" t="b">
        <f aca="false">FALSE()</f>
        <v>0</v>
      </c>
      <c r="AD18" s="17" t="b">
        <f aca="false">FALSE()</f>
        <v>0</v>
      </c>
      <c r="AE18" s="17" t="b">
        <f aca="false">FALSE()</f>
        <v>0</v>
      </c>
      <c r="AF18" s="17" t="b">
        <f aca="false">FALSE()</f>
        <v>0</v>
      </c>
      <c r="AG18" s="17" t="b">
        <f aca="false">FALSE()</f>
        <v>0</v>
      </c>
      <c r="AH18" s="1"/>
      <c r="AI18" s="18" t="n">
        <f aca="false">IF($B18="","",$AP$3)</f>
        <v>31</v>
      </c>
      <c r="AJ18" s="18" t="n">
        <f aca="false">IF($B18="","",COUNTIF(C18:AG18,TRUE()))</f>
        <v>0</v>
      </c>
      <c r="AK18" s="18" t="n">
        <f aca="false">IF($B18="","",AI18-AJ18)</f>
        <v>31</v>
      </c>
      <c r="AL18" s="19" t="n">
        <f aca="false">IF($B18="","",AJ18/AI18)</f>
        <v>0</v>
      </c>
      <c r="AM18" s="20" t="n">
        <f aca="false">IF($B18="","",AJ18/AI18)</f>
        <v>0</v>
      </c>
      <c r="AN18" s="21" t="n">
        <f aca="false">IF($B18="",-1,AM18-ROW()/100000)</f>
        <v>-0.00018</v>
      </c>
      <c r="AO18" s="1"/>
    </row>
    <row r="19" customFormat="false" ht="18" hidden="false" customHeight="true" outlineLevel="0" collapsed="false">
      <c r="A19" s="1"/>
      <c r="B19" s="16" t="s">
        <v>37</v>
      </c>
      <c r="C19" s="17" t="b">
        <f aca="false">FALSE()</f>
        <v>0</v>
      </c>
      <c r="D19" s="17" t="b">
        <f aca="false">FALSE()</f>
        <v>0</v>
      </c>
      <c r="E19" s="17" t="b">
        <f aca="false">FALSE()</f>
        <v>0</v>
      </c>
      <c r="F19" s="17" t="b">
        <f aca="false">FALSE()</f>
        <v>0</v>
      </c>
      <c r="G19" s="17" t="b">
        <f aca="false">FALSE()</f>
        <v>0</v>
      </c>
      <c r="H19" s="17" t="b">
        <f aca="false">FALSE()</f>
        <v>0</v>
      </c>
      <c r="I19" s="17" t="b">
        <f aca="false">FALSE()</f>
        <v>0</v>
      </c>
      <c r="J19" s="17" t="b">
        <f aca="false">FALSE()</f>
        <v>0</v>
      </c>
      <c r="K19" s="17" t="b">
        <f aca="false">FALSE()</f>
        <v>0</v>
      </c>
      <c r="L19" s="17" t="b">
        <f aca="false">FALSE()</f>
        <v>0</v>
      </c>
      <c r="M19" s="17" t="b">
        <f aca="false">FALSE()</f>
        <v>0</v>
      </c>
      <c r="N19" s="17" t="b">
        <f aca="false">FALSE()</f>
        <v>0</v>
      </c>
      <c r="O19" s="17" t="b">
        <f aca="false">FALSE()</f>
        <v>0</v>
      </c>
      <c r="P19" s="17" t="b">
        <f aca="false">FALSE()</f>
        <v>0</v>
      </c>
      <c r="Q19" s="17" t="b">
        <f aca="false">FALSE()</f>
        <v>0</v>
      </c>
      <c r="R19" s="17" t="b">
        <f aca="false">FALSE()</f>
        <v>0</v>
      </c>
      <c r="S19" s="17" t="b">
        <f aca="false">FALSE()</f>
        <v>0</v>
      </c>
      <c r="T19" s="17" t="b">
        <f aca="false">FALSE()</f>
        <v>0</v>
      </c>
      <c r="U19" s="17" t="b">
        <f aca="false">FALSE()</f>
        <v>0</v>
      </c>
      <c r="V19" s="17" t="b">
        <f aca="false">FALSE()</f>
        <v>0</v>
      </c>
      <c r="W19" s="17" t="b">
        <f aca="false">FALSE()</f>
        <v>0</v>
      </c>
      <c r="X19" s="17" t="b">
        <f aca="false">FALSE()</f>
        <v>0</v>
      </c>
      <c r="Y19" s="17" t="b">
        <f aca="false">FALSE()</f>
        <v>0</v>
      </c>
      <c r="Z19" s="17" t="b">
        <f aca="false">FALSE()</f>
        <v>0</v>
      </c>
      <c r="AA19" s="17" t="b">
        <f aca="false">FALSE()</f>
        <v>0</v>
      </c>
      <c r="AB19" s="17" t="b">
        <f aca="false">FALSE()</f>
        <v>0</v>
      </c>
      <c r="AC19" s="17" t="b">
        <f aca="false">FALSE()</f>
        <v>0</v>
      </c>
      <c r="AD19" s="17" t="b">
        <f aca="false">FALSE()</f>
        <v>0</v>
      </c>
      <c r="AE19" s="17" t="b">
        <f aca="false">FALSE()</f>
        <v>0</v>
      </c>
      <c r="AF19" s="17" t="b">
        <f aca="false">FALSE()</f>
        <v>0</v>
      </c>
      <c r="AG19" s="17" t="b">
        <f aca="false">FALSE()</f>
        <v>0</v>
      </c>
      <c r="AH19" s="1"/>
      <c r="AI19" s="18" t="n">
        <f aca="false">IF($B19="","",$AP$3)</f>
        <v>31</v>
      </c>
      <c r="AJ19" s="18" t="n">
        <f aca="false">IF($B19="","",COUNTIF(C19:AG19,TRUE()))</f>
        <v>0</v>
      </c>
      <c r="AK19" s="18" t="n">
        <f aca="false">IF($B19="","",AI19-AJ19)</f>
        <v>31</v>
      </c>
      <c r="AL19" s="19" t="n">
        <f aca="false">IF($B19="","",AJ19/AI19)</f>
        <v>0</v>
      </c>
      <c r="AM19" s="20" t="n">
        <f aca="false">IF($B19="","",AJ19/AI19)</f>
        <v>0</v>
      </c>
      <c r="AN19" s="21" t="n">
        <f aca="false">IF($B19="",-1,AM19-ROW()/100000)</f>
        <v>-0.00019</v>
      </c>
      <c r="AO19" s="1"/>
    </row>
    <row r="20" customFormat="false" ht="18" hidden="false" customHeight="true" outlineLevel="0" collapsed="false">
      <c r="A20" s="1"/>
      <c r="B20" s="16" t="s">
        <v>38</v>
      </c>
      <c r="C20" s="17" t="b">
        <f aca="false">FALSE()</f>
        <v>0</v>
      </c>
      <c r="D20" s="17" t="b">
        <f aca="false">FALSE()</f>
        <v>0</v>
      </c>
      <c r="E20" s="17" t="b">
        <f aca="false">FALSE()</f>
        <v>0</v>
      </c>
      <c r="F20" s="17" t="b">
        <f aca="false">FALSE()</f>
        <v>0</v>
      </c>
      <c r="G20" s="17" t="b">
        <f aca="false">FALSE()</f>
        <v>0</v>
      </c>
      <c r="H20" s="17" t="b">
        <f aca="false">FALSE()</f>
        <v>0</v>
      </c>
      <c r="I20" s="17" t="b">
        <f aca="false">FALSE()</f>
        <v>0</v>
      </c>
      <c r="J20" s="17" t="b">
        <f aca="false">FALSE()</f>
        <v>0</v>
      </c>
      <c r="K20" s="17" t="b">
        <f aca="false">FALSE()</f>
        <v>0</v>
      </c>
      <c r="L20" s="17" t="b">
        <f aca="false">FALSE()</f>
        <v>0</v>
      </c>
      <c r="M20" s="17" t="b">
        <f aca="false">FALSE()</f>
        <v>0</v>
      </c>
      <c r="N20" s="17" t="b">
        <f aca="false">FALSE()</f>
        <v>0</v>
      </c>
      <c r="O20" s="17" t="b">
        <f aca="false">FALSE()</f>
        <v>0</v>
      </c>
      <c r="P20" s="17" t="b">
        <f aca="false">FALSE()</f>
        <v>0</v>
      </c>
      <c r="Q20" s="17" t="b">
        <f aca="false">FALSE()</f>
        <v>0</v>
      </c>
      <c r="R20" s="17" t="b">
        <f aca="false">FALSE()</f>
        <v>0</v>
      </c>
      <c r="S20" s="17" t="b">
        <f aca="false">FALSE()</f>
        <v>0</v>
      </c>
      <c r="T20" s="17" t="b">
        <f aca="false">FALSE()</f>
        <v>0</v>
      </c>
      <c r="U20" s="17" t="b">
        <f aca="false">FALSE()</f>
        <v>0</v>
      </c>
      <c r="V20" s="17" t="b">
        <f aca="false">FALSE()</f>
        <v>0</v>
      </c>
      <c r="W20" s="17" t="b">
        <f aca="false">FALSE()</f>
        <v>0</v>
      </c>
      <c r="X20" s="17" t="b">
        <f aca="false">FALSE()</f>
        <v>0</v>
      </c>
      <c r="Y20" s="17" t="b">
        <f aca="false">FALSE()</f>
        <v>0</v>
      </c>
      <c r="Z20" s="17" t="b">
        <f aca="false">FALSE()</f>
        <v>0</v>
      </c>
      <c r="AA20" s="17" t="b">
        <f aca="false">FALSE()</f>
        <v>0</v>
      </c>
      <c r="AB20" s="17" t="b">
        <f aca="false">FALSE()</f>
        <v>0</v>
      </c>
      <c r="AC20" s="17" t="b">
        <f aca="false">FALSE()</f>
        <v>0</v>
      </c>
      <c r="AD20" s="17" t="b">
        <f aca="false">FALSE()</f>
        <v>0</v>
      </c>
      <c r="AE20" s="17" t="b">
        <f aca="false">FALSE()</f>
        <v>0</v>
      </c>
      <c r="AF20" s="17" t="b">
        <f aca="false">FALSE()</f>
        <v>0</v>
      </c>
      <c r="AG20" s="17" t="b">
        <f aca="false">FALSE()</f>
        <v>0</v>
      </c>
      <c r="AH20" s="1"/>
      <c r="AI20" s="18" t="n">
        <f aca="false">IF($B20="","",$AP$3)</f>
        <v>31</v>
      </c>
      <c r="AJ20" s="18" t="n">
        <f aca="false">IF($B20="","",COUNTIF(C20:AG20,TRUE()))</f>
        <v>0</v>
      </c>
      <c r="AK20" s="18" t="n">
        <f aca="false">IF($B20="","",AI20-AJ20)</f>
        <v>31</v>
      </c>
      <c r="AL20" s="19" t="n">
        <f aca="false">IF($B20="","",AJ20/AI20)</f>
        <v>0</v>
      </c>
      <c r="AM20" s="20" t="n">
        <f aca="false">IF($B20="","",AJ20/AI20)</f>
        <v>0</v>
      </c>
      <c r="AN20" s="21" t="n">
        <f aca="false">IF($B20="",-1,AM20-ROW()/100000)</f>
        <v>-0.0002</v>
      </c>
      <c r="AO20" s="1"/>
    </row>
    <row r="21" customFormat="false" ht="18" hidden="false" customHeight="true" outlineLevel="0" collapsed="false">
      <c r="A21" s="1"/>
      <c r="B21" s="16" t="s">
        <v>39</v>
      </c>
      <c r="C21" s="17" t="b">
        <f aca="false">FALSE()</f>
        <v>0</v>
      </c>
      <c r="D21" s="17" t="b">
        <f aca="false">FALSE()</f>
        <v>0</v>
      </c>
      <c r="E21" s="17" t="b">
        <f aca="false">FALSE()</f>
        <v>0</v>
      </c>
      <c r="F21" s="17" t="b">
        <f aca="false">FALSE()</f>
        <v>0</v>
      </c>
      <c r="G21" s="17" t="b">
        <f aca="false">FALSE()</f>
        <v>0</v>
      </c>
      <c r="H21" s="17" t="b">
        <f aca="false">FALSE()</f>
        <v>0</v>
      </c>
      <c r="I21" s="17" t="b">
        <f aca="false">FALSE()</f>
        <v>0</v>
      </c>
      <c r="J21" s="17" t="b">
        <f aca="false">FALSE()</f>
        <v>0</v>
      </c>
      <c r="K21" s="17" t="b">
        <f aca="false">FALSE()</f>
        <v>0</v>
      </c>
      <c r="L21" s="17" t="b">
        <f aca="false">FALSE()</f>
        <v>0</v>
      </c>
      <c r="M21" s="17" t="b">
        <f aca="false">FALSE()</f>
        <v>0</v>
      </c>
      <c r="N21" s="17" t="b">
        <f aca="false">FALSE()</f>
        <v>0</v>
      </c>
      <c r="O21" s="17" t="b">
        <f aca="false">FALSE()</f>
        <v>0</v>
      </c>
      <c r="P21" s="17" t="b">
        <f aca="false">FALSE()</f>
        <v>0</v>
      </c>
      <c r="Q21" s="17" t="b">
        <f aca="false">FALSE()</f>
        <v>0</v>
      </c>
      <c r="R21" s="17" t="b">
        <f aca="false">FALSE()</f>
        <v>0</v>
      </c>
      <c r="S21" s="17" t="b">
        <f aca="false">FALSE()</f>
        <v>0</v>
      </c>
      <c r="T21" s="17" t="b">
        <f aca="false">FALSE()</f>
        <v>0</v>
      </c>
      <c r="U21" s="17" t="b">
        <f aca="false">FALSE()</f>
        <v>0</v>
      </c>
      <c r="V21" s="17" t="b">
        <f aca="false">FALSE()</f>
        <v>0</v>
      </c>
      <c r="W21" s="17" t="b">
        <f aca="false">FALSE()</f>
        <v>0</v>
      </c>
      <c r="X21" s="17" t="b">
        <f aca="false">FALSE()</f>
        <v>0</v>
      </c>
      <c r="Y21" s="17" t="b">
        <f aca="false">FALSE()</f>
        <v>0</v>
      </c>
      <c r="Z21" s="17" t="b">
        <f aca="false">FALSE()</f>
        <v>0</v>
      </c>
      <c r="AA21" s="17" t="b">
        <f aca="false">FALSE()</f>
        <v>0</v>
      </c>
      <c r="AB21" s="17" t="b">
        <f aca="false">FALSE()</f>
        <v>0</v>
      </c>
      <c r="AC21" s="17" t="b">
        <f aca="false">FALSE()</f>
        <v>0</v>
      </c>
      <c r="AD21" s="17" t="b">
        <f aca="false">FALSE()</f>
        <v>0</v>
      </c>
      <c r="AE21" s="17" t="b">
        <f aca="false">FALSE()</f>
        <v>0</v>
      </c>
      <c r="AF21" s="17" t="b">
        <f aca="false">FALSE()</f>
        <v>0</v>
      </c>
      <c r="AG21" s="17" t="b">
        <f aca="false">FALSE()</f>
        <v>0</v>
      </c>
      <c r="AH21" s="1"/>
      <c r="AI21" s="18" t="n">
        <f aca="false">IF($B21="","",$AP$3)</f>
        <v>31</v>
      </c>
      <c r="AJ21" s="18" t="n">
        <f aca="false">IF($B21="","",COUNTIF(C21:AG21,TRUE()))</f>
        <v>0</v>
      </c>
      <c r="AK21" s="18" t="n">
        <f aca="false">IF($B21="","",AI21-AJ21)</f>
        <v>31</v>
      </c>
      <c r="AL21" s="19" t="n">
        <f aca="false">IF($B21="","",AJ21/AI21)</f>
        <v>0</v>
      </c>
      <c r="AM21" s="20" t="n">
        <f aca="false">IF($B21="","",AJ21/AI21)</f>
        <v>0</v>
      </c>
      <c r="AN21" s="21" t="n">
        <f aca="false">IF($B21="",-1,AM21-ROW()/100000)</f>
        <v>-0.00021</v>
      </c>
      <c r="AO21" s="1"/>
    </row>
    <row r="22" customFormat="false" ht="18" hidden="false" customHeight="true" outlineLevel="0" collapsed="false">
      <c r="A22" s="1"/>
      <c r="B22" s="16" t="s">
        <v>40</v>
      </c>
      <c r="C22" s="17" t="b">
        <f aca="false">FALSE()</f>
        <v>0</v>
      </c>
      <c r="D22" s="17" t="b">
        <f aca="false">FALSE()</f>
        <v>0</v>
      </c>
      <c r="E22" s="17" t="b">
        <f aca="false">FALSE()</f>
        <v>0</v>
      </c>
      <c r="F22" s="17" t="b">
        <f aca="false">FALSE()</f>
        <v>0</v>
      </c>
      <c r="G22" s="17" t="b">
        <f aca="false">FALSE()</f>
        <v>0</v>
      </c>
      <c r="H22" s="17" t="b">
        <f aca="false">FALSE()</f>
        <v>0</v>
      </c>
      <c r="I22" s="17" t="b">
        <f aca="false">FALSE()</f>
        <v>0</v>
      </c>
      <c r="J22" s="17" t="b">
        <f aca="false">FALSE()</f>
        <v>0</v>
      </c>
      <c r="K22" s="17" t="b">
        <f aca="false">FALSE()</f>
        <v>0</v>
      </c>
      <c r="L22" s="17" t="b">
        <f aca="false">FALSE()</f>
        <v>0</v>
      </c>
      <c r="M22" s="17" t="b">
        <f aca="false">FALSE()</f>
        <v>0</v>
      </c>
      <c r="N22" s="17" t="b">
        <f aca="false">FALSE()</f>
        <v>0</v>
      </c>
      <c r="O22" s="17" t="b">
        <f aca="false">FALSE()</f>
        <v>0</v>
      </c>
      <c r="P22" s="17" t="b">
        <f aca="false">FALSE()</f>
        <v>0</v>
      </c>
      <c r="Q22" s="17" t="b">
        <f aca="false">FALSE()</f>
        <v>0</v>
      </c>
      <c r="R22" s="17" t="b">
        <f aca="false">FALSE()</f>
        <v>0</v>
      </c>
      <c r="S22" s="17" t="b">
        <f aca="false">FALSE()</f>
        <v>0</v>
      </c>
      <c r="T22" s="17" t="b">
        <f aca="false">FALSE()</f>
        <v>0</v>
      </c>
      <c r="U22" s="17" t="b">
        <f aca="false">FALSE()</f>
        <v>0</v>
      </c>
      <c r="V22" s="17" t="b">
        <f aca="false">FALSE()</f>
        <v>0</v>
      </c>
      <c r="W22" s="17" t="b">
        <f aca="false">FALSE()</f>
        <v>0</v>
      </c>
      <c r="X22" s="17" t="b">
        <f aca="false">FALSE()</f>
        <v>0</v>
      </c>
      <c r="Y22" s="17" t="b">
        <f aca="false">FALSE()</f>
        <v>0</v>
      </c>
      <c r="Z22" s="17" t="b">
        <f aca="false">FALSE()</f>
        <v>0</v>
      </c>
      <c r="AA22" s="17" t="b">
        <f aca="false">FALSE()</f>
        <v>0</v>
      </c>
      <c r="AB22" s="17" t="b">
        <f aca="false">FALSE()</f>
        <v>0</v>
      </c>
      <c r="AC22" s="17" t="b">
        <f aca="false">FALSE()</f>
        <v>0</v>
      </c>
      <c r="AD22" s="17" t="b">
        <f aca="false">FALSE()</f>
        <v>0</v>
      </c>
      <c r="AE22" s="17" t="b">
        <f aca="false">FALSE()</f>
        <v>0</v>
      </c>
      <c r="AF22" s="17" t="b">
        <f aca="false">FALSE()</f>
        <v>0</v>
      </c>
      <c r="AG22" s="17" t="b">
        <f aca="false">FALSE()</f>
        <v>0</v>
      </c>
      <c r="AH22" s="1"/>
      <c r="AI22" s="18" t="n">
        <f aca="false">IF($B22="","",$AP$3)</f>
        <v>31</v>
      </c>
      <c r="AJ22" s="18" t="n">
        <f aca="false">IF($B22="","",COUNTIF(C22:AG22,TRUE()))</f>
        <v>0</v>
      </c>
      <c r="AK22" s="18" t="n">
        <f aca="false">IF($B22="","",AI22-AJ22)</f>
        <v>31</v>
      </c>
      <c r="AL22" s="19" t="n">
        <f aca="false">IF($B22="","",AJ22/AI22)</f>
        <v>0</v>
      </c>
      <c r="AM22" s="20" t="n">
        <f aca="false">IF($B22="","",AJ22/AI22)</f>
        <v>0</v>
      </c>
      <c r="AN22" s="21" t="n">
        <f aca="false">IF($B22="",-1,AM22-ROW()/100000)</f>
        <v>-0.00022</v>
      </c>
      <c r="AO22" s="1"/>
    </row>
    <row r="23" customFormat="false" ht="18" hidden="false" customHeight="true" outlineLevel="0" collapsed="false">
      <c r="A23" s="1"/>
      <c r="B23" s="16" t="s">
        <v>41</v>
      </c>
      <c r="C23" s="17" t="b">
        <f aca="false">FALSE()</f>
        <v>0</v>
      </c>
      <c r="D23" s="17" t="b">
        <f aca="false">FALSE()</f>
        <v>0</v>
      </c>
      <c r="E23" s="17" t="b">
        <f aca="false">FALSE()</f>
        <v>0</v>
      </c>
      <c r="F23" s="17" t="b">
        <f aca="false">FALSE()</f>
        <v>0</v>
      </c>
      <c r="G23" s="17" t="b">
        <f aca="false">FALSE()</f>
        <v>0</v>
      </c>
      <c r="H23" s="17" t="b">
        <f aca="false">FALSE()</f>
        <v>0</v>
      </c>
      <c r="I23" s="17" t="b">
        <f aca="false">FALSE()</f>
        <v>0</v>
      </c>
      <c r="J23" s="17" t="b">
        <f aca="false">FALSE()</f>
        <v>0</v>
      </c>
      <c r="K23" s="17" t="b">
        <f aca="false">FALSE()</f>
        <v>0</v>
      </c>
      <c r="L23" s="17" t="b">
        <f aca="false">FALSE()</f>
        <v>0</v>
      </c>
      <c r="M23" s="17" t="b">
        <f aca="false">FALSE()</f>
        <v>0</v>
      </c>
      <c r="N23" s="17" t="b">
        <f aca="false">FALSE()</f>
        <v>0</v>
      </c>
      <c r="O23" s="17" t="b">
        <f aca="false">FALSE()</f>
        <v>0</v>
      </c>
      <c r="P23" s="17" t="b">
        <f aca="false">FALSE()</f>
        <v>0</v>
      </c>
      <c r="Q23" s="17" t="b">
        <f aca="false">FALSE()</f>
        <v>0</v>
      </c>
      <c r="R23" s="17" t="b">
        <f aca="false">FALSE()</f>
        <v>0</v>
      </c>
      <c r="S23" s="17" t="b">
        <f aca="false">FALSE()</f>
        <v>0</v>
      </c>
      <c r="T23" s="17" t="b">
        <f aca="false">FALSE()</f>
        <v>0</v>
      </c>
      <c r="U23" s="17" t="b">
        <f aca="false">FALSE()</f>
        <v>0</v>
      </c>
      <c r="V23" s="17" t="b">
        <f aca="false">FALSE()</f>
        <v>0</v>
      </c>
      <c r="W23" s="17" t="b">
        <f aca="false">FALSE()</f>
        <v>0</v>
      </c>
      <c r="X23" s="17" t="b">
        <f aca="false">FALSE()</f>
        <v>0</v>
      </c>
      <c r="Y23" s="17" t="b">
        <f aca="false">FALSE()</f>
        <v>0</v>
      </c>
      <c r="Z23" s="17" t="b">
        <f aca="false">FALSE()</f>
        <v>0</v>
      </c>
      <c r="AA23" s="17" t="b">
        <f aca="false">FALSE()</f>
        <v>0</v>
      </c>
      <c r="AB23" s="17" t="b">
        <f aca="false">FALSE()</f>
        <v>0</v>
      </c>
      <c r="AC23" s="17" t="b">
        <f aca="false">FALSE()</f>
        <v>0</v>
      </c>
      <c r="AD23" s="17" t="b">
        <f aca="false">FALSE()</f>
        <v>0</v>
      </c>
      <c r="AE23" s="17" t="b">
        <f aca="false">FALSE()</f>
        <v>0</v>
      </c>
      <c r="AF23" s="17" t="b">
        <f aca="false">FALSE()</f>
        <v>0</v>
      </c>
      <c r="AG23" s="17" t="b">
        <f aca="false">FALSE()</f>
        <v>0</v>
      </c>
      <c r="AH23" s="1"/>
      <c r="AI23" s="18" t="n">
        <f aca="false">IF($B23="","",$AP$3)</f>
        <v>31</v>
      </c>
      <c r="AJ23" s="18" t="n">
        <f aca="false">IF($B23="","",COUNTIF(C23:AG23,TRUE()))</f>
        <v>0</v>
      </c>
      <c r="AK23" s="18" t="n">
        <f aca="false">IF($B23="","",AI23-AJ23)</f>
        <v>31</v>
      </c>
      <c r="AL23" s="19" t="n">
        <f aca="false">IF($B23="","",AJ23/AI23)</f>
        <v>0</v>
      </c>
      <c r="AM23" s="20" t="n">
        <f aca="false">IF($B23="","",AJ23/AI23)</f>
        <v>0</v>
      </c>
      <c r="AN23" s="21" t="n">
        <f aca="false">IF($B23="",-1,AM23-ROW()/100000)</f>
        <v>-0.00023</v>
      </c>
      <c r="AO23" s="1"/>
    </row>
    <row r="24" customFormat="false" ht="18" hidden="false" customHeight="true" outlineLevel="0" collapsed="false">
      <c r="A24" s="1"/>
      <c r="B24" s="16" t="s">
        <v>42</v>
      </c>
      <c r="C24" s="17" t="b">
        <f aca="false">FALSE()</f>
        <v>0</v>
      </c>
      <c r="D24" s="17" t="b">
        <f aca="false">FALSE()</f>
        <v>0</v>
      </c>
      <c r="E24" s="17" t="b">
        <f aca="false">FALSE()</f>
        <v>0</v>
      </c>
      <c r="F24" s="17" t="b">
        <f aca="false">FALSE()</f>
        <v>0</v>
      </c>
      <c r="G24" s="17" t="b">
        <f aca="false">FALSE()</f>
        <v>0</v>
      </c>
      <c r="H24" s="17" t="b">
        <f aca="false">FALSE()</f>
        <v>0</v>
      </c>
      <c r="I24" s="17" t="b">
        <f aca="false">FALSE()</f>
        <v>0</v>
      </c>
      <c r="J24" s="17" t="b">
        <f aca="false">FALSE()</f>
        <v>0</v>
      </c>
      <c r="K24" s="17" t="b">
        <f aca="false">FALSE()</f>
        <v>0</v>
      </c>
      <c r="L24" s="17" t="b">
        <f aca="false">FALSE()</f>
        <v>0</v>
      </c>
      <c r="M24" s="17" t="b">
        <f aca="false">FALSE()</f>
        <v>0</v>
      </c>
      <c r="N24" s="17" t="b">
        <f aca="false">FALSE()</f>
        <v>0</v>
      </c>
      <c r="O24" s="17" t="b">
        <f aca="false">FALSE()</f>
        <v>0</v>
      </c>
      <c r="P24" s="17" t="b">
        <f aca="false">FALSE()</f>
        <v>0</v>
      </c>
      <c r="Q24" s="17" t="b">
        <f aca="false">FALSE()</f>
        <v>0</v>
      </c>
      <c r="R24" s="17" t="b">
        <f aca="false">FALSE()</f>
        <v>0</v>
      </c>
      <c r="S24" s="17" t="b">
        <f aca="false">FALSE()</f>
        <v>0</v>
      </c>
      <c r="T24" s="17" t="b">
        <f aca="false">FALSE()</f>
        <v>0</v>
      </c>
      <c r="U24" s="17" t="b">
        <f aca="false">FALSE()</f>
        <v>0</v>
      </c>
      <c r="V24" s="17" t="b">
        <f aca="false">FALSE()</f>
        <v>0</v>
      </c>
      <c r="W24" s="17" t="b">
        <f aca="false">FALSE()</f>
        <v>0</v>
      </c>
      <c r="X24" s="17" t="b">
        <f aca="false">FALSE()</f>
        <v>0</v>
      </c>
      <c r="Y24" s="17" t="b">
        <f aca="false">FALSE()</f>
        <v>0</v>
      </c>
      <c r="Z24" s="17" t="b">
        <f aca="false">FALSE()</f>
        <v>0</v>
      </c>
      <c r="AA24" s="17" t="b">
        <f aca="false">FALSE()</f>
        <v>0</v>
      </c>
      <c r="AB24" s="17" t="b">
        <f aca="false">FALSE()</f>
        <v>0</v>
      </c>
      <c r="AC24" s="17" t="b">
        <f aca="false">FALSE()</f>
        <v>0</v>
      </c>
      <c r="AD24" s="17" t="b">
        <f aca="false">FALSE()</f>
        <v>0</v>
      </c>
      <c r="AE24" s="17" t="b">
        <f aca="false">FALSE()</f>
        <v>0</v>
      </c>
      <c r="AF24" s="17" t="b">
        <f aca="false">FALSE()</f>
        <v>0</v>
      </c>
      <c r="AG24" s="17" t="b">
        <f aca="false">FALSE()</f>
        <v>0</v>
      </c>
      <c r="AH24" s="1"/>
      <c r="AI24" s="18" t="n">
        <f aca="false">IF($B24="","",$AP$3)</f>
        <v>31</v>
      </c>
      <c r="AJ24" s="18" t="n">
        <f aca="false">IF($B24="","",COUNTIF(C24:AG24,TRUE()))</f>
        <v>0</v>
      </c>
      <c r="AK24" s="18" t="n">
        <f aca="false">IF($B24="","",AI24-AJ24)</f>
        <v>31</v>
      </c>
      <c r="AL24" s="19" t="n">
        <f aca="false">IF($B24="","",AJ24/AI24)</f>
        <v>0</v>
      </c>
      <c r="AM24" s="20" t="n">
        <f aca="false">IF($B24="","",AJ24/AI24)</f>
        <v>0</v>
      </c>
      <c r="AN24" s="21" t="n">
        <f aca="false">IF($B24="",-1,AM24-ROW()/100000)</f>
        <v>-0.00024</v>
      </c>
      <c r="AO24" s="1"/>
    </row>
    <row r="25" customFormat="false" ht="18" hidden="false" customHeight="true" outlineLevel="0" collapsed="false">
      <c r="A25" s="1"/>
      <c r="B25" s="16" t="s">
        <v>43</v>
      </c>
      <c r="C25" s="17" t="b">
        <f aca="false">FALSE()</f>
        <v>0</v>
      </c>
      <c r="D25" s="17" t="b">
        <f aca="false">FALSE()</f>
        <v>0</v>
      </c>
      <c r="E25" s="17" t="b">
        <f aca="false">FALSE()</f>
        <v>0</v>
      </c>
      <c r="F25" s="17" t="b">
        <f aca="false">FALSE()</f>
        <v>0</v>
      </c>
      <c r="G25" s="17" t="b">
        <f aca="false">FALSE()</f>
        <v>0</v>
      </c>
      <c r="H25" s="17" t="b">
        <f aca="false">FALSE()</f>
        <v>0</v>
      </c>
      <c r="I25" s="17" t="b">
        <f aca="false">FALSE()</f>
        <v>0</v>
      </c>
      <c r="J25" s="17" t="b">
        <f aca="false">FALSE()</f>
        <v>0</v>
      </c>
      <c r="K25" s="17" t="b">
        <f aca="false">FALSE()</f>
        <v>0</v>
      </c>
      <c r="L25" s="17" t="b">
        <f aca="false">FALSE()</f>
        <v>0</v>
      </c>
      <c r="M25" s="17" t="b">
        <f aca="false">FALSE()</f>
        <v>0</v>
      </c>
      <c r="N25" s="17" t="b">
        <f aca="false">FALSE()</f>
        <v>0</v>
      </c>
      <c r="O25" s="17" t="b">
        <f aca="false">FALSE()</f>
        <v>0</v>
      </c>
      <c r="P25" s="17" t="b">
        <f aca="false">FALSE()</f>
        <v>0</v>
      </c>
      <c r="Q25" s="17" t="b">
        <f aca="false">FALSE()</f>
        <v>0</v>
      </c>
      <c r="R25" s="17" t="b">
        <f aca="false">FALSE()</f>
        <v>0</v>
      </c>
      <c r="S25" s="17" t="b">
        <f aca="false">FALSE()</f>
        <v>0</v>
      </c>
      <c r="T25" s="17" t="b">
        <f aca="false">FALSE()</f>
        <v>0</v>
      </c>
      <c r="U25" s="17" t="b">
        <f aca="false">FALSE()</f>
        <v>0</v>
      </c>
      <c r="V25" s="17" t="b">
        <f aca="false">FALSE()</f>
        <v>0</v>
      </c>
      <c r="W25" s="17" t="b">
        <f aca="false">FALSE()</f>
        <v>0</v>
      </c>
      <c r="X25" s="17" t="b">
        <f aca="false">FALSE()</f>
        <v>0</v>
      </c>
      <c r="Y25" s="17" t="b">
        <f aca="false">FALSE()</f>
        <v>0</v>
      </c>
      <c r="Z25" s="17" t="b">
        <f aca="false">FALSE()</f>
        <v>0</v>
      </c>
      <c r="AA25" s="17" t="b">
        <f aca="false">FALSE()</f>
        <v>0</v>
      </c>
      <c r="AB25" s="17" t="b">
        <f aca="false">FALSE()</f>
        <v>0</v>
      </c>
      <c r="AC25" s="17" t="b">
        <f aca="false">FALSE()</f>
        <v>0</v>
      </c>
      <c r="AD25" s="17" t="b">
        <f aca="false">FALSE()</f>
        <v>0</v>
      </c>
      <c r="AE25" s="17" t="b">
        <f aca="false">FALSE()</f>
        <v>0</v>
      </c>
      <c r="AF25" s="17" t="b">
        <f aca="false">FALSE()</f>
        <v>0</v>
      </c>
      <c r="AG25" s="17" t="b">
        <f aca="false">FALSE()</f>
        <v>0</v>
      </c>
      <c r="AH25" s="1"/>
      <c r="AI25" s="18" t="n">
        <f aca="false">IF($B25="","",$AP$3)</f>
        <v>31</v>
      </c>
      <c r="AJ25" s="18" t="n">
        <f aca="false">IF($B25="","",COUNTIF(C25:AG25,TRUE()))</f>
        <v>0</v>
      </c>
      <c r="AK25" s="18" t="n">
        <f aca="false">IF($B25="","",AI25-AJ25)</f>
        <v>31</v>
      </c>
      <c r="AL25" s="19" t="n">
        <f aca="false">IF($B25="","",AJ25/AI25)</f>
        <v>0</v>
      </c>
      <c r="AM25" s="20" t="n">
        <f aca="false">IF($B25="","",AJ25/AI25)</f>
        <v>0</v>
      </c>
      <c r="AN25" s="21" t="n">
        <f aca="false">IF($B25="",-1,AM25-ROW()/100000)</f>
        <v>-0.00025</v>
      </c>
      <c r="AO25" s="1"/>
    </row>
    <row r="26" customFormat="false" ht="18" hidden="false" customHeight="true" outlineLevel="0" collapsed="false">
      <c r="A26" s="1"/>
      <c r="B26" s="16" t="s">
        <v>44</v>
      </c>
      <c r="C26" s="17" t="b">
        <f aca="false">FALSE()</f>
        <v>0</v>
      </c>
      <c r="D26" s="17" t="b">
        <f aca="false">FALSE()</f>
        <v>0</v>
      </c>
      <c r="E26" s="17" t="b">
        <f aca="false">FALSE()</f>
        <v>0</v>
      </c>
      <c r="F26" s="17" t="b">
        <f aca="false">FALSE()</f>
        <v>0</v>
      </c>
      <c r="G26" s="17" t="b">
        <f aca="false">FALSE()</f>
        <v>0</v>
      </c>
      <c r="H26" s="17" t="b">
        <f aca="false">FALSE()</f>
        <v>0</v>
      </c>
      <c r="I26" s="17" t="b">
        <f aca="false">FALSE()</f>
        <v>0</v>
      </c>
      <c r="J26" s="17" t="b">
        <f aca="false">FALSE()</f>
        <v>0</v>
      </c>
      <c r="K26" s="17" t="b">
        <f aca="false">FALSE()</f>
        <v>0</v>
      </c>
      <c r="L26" s="17" t="b">
        <f aca="false">FALSE()</f>
        <v>0</v>
      </c>
      <c r="M26" s="17" t="b">
        <f aca="false">FALSE()</f>
        <v>0</v>
      </c>
      <c r="N26" s="17" t="b">
        <f aca="false">FALSE()</f>
        <v>0</v>
      </c>
      <c r="O26" s="17" t="b">
        <f aca="false">FALSE()</f>
        <v>0</v>
      </c>
      <c r="P26" s="17" t="b">
        <f aca="false">FALSE()</f>
        <v>0</v>
      </c>
      <c r="Q26" s="17" t="b">
        <f aca="false">FALSE()</f>
        <v>0</v>
      </c>
      <c r="R26" s="17" t="b">
        <f aca="false">FALSE()</f>
        <v>0</v>
      </c>
      <c r="S26" s="17" t="b">
        <f aca="false">FALSE()</f>
        <v>0</v>
      </c>
      <c r="T26" s="17" t="b">
        <f aca="false">FALSE()</f>
        <v>0</v>
      </c>
      <c r="U26" s="17" t="b">
        <f aca="false">FALSE()</f>
        <v>0</v>
      </c>
      <c r="V26" s="17" t="b">
        <f aca="false">FALSE()</f>
        <v>0</v>
      </c>
      <c r="W26" s="17" t="b">
        <f aca="false">FALSE()</f>
        <v>0</v>
      </c>
      <c r="X26" s="17" t="b">
        <f aca="false">FALSE()</f>
        <v>0</v>
      </c>
      <c r="Y26" s="17" t="b">
        <f aca="false">FALSE()</f>
        <v>0</v>
      </c>
      <c r="Z26" s="17" t="b">
        <f aca="false">FALSE()</f>
        <v>0</v>
      </c>
      <c r="AA26" s="17" t="b">
        <f aca="false">FALSE()</f>
        <v>0</v>
      </c>
      <c r="AB26" s="17" t="b">
        <f aca="false">FALSE()</f>
        <v>0</v>
      </c>
      <c r="AC26" s="17" t="b">
        <f aca="false">FALSE()</f>
        <v>0</v>
      </c>
      <c r="AD26" s="17" t="b">
        <f aca="false">FALSE()</f>
        <v>0</v>
      </c>
      <c r="AE26" s="17" t="b">
        <f aca="false">FALSE()</f>
        <v>0</v>
      </c>
      <c r="AF26" s="17" t="b">
        <f aca="false">FALSE()</f>
        <v>0</v>
      </c>
      <c r="AG26" s="17" t="b">
        <f aca="false">FALSE()</f>
        <v>0</v>
      </c>
      <c r="AH26" s="1"/>
      <c r="AI26" s="18" t="n">
        <f aca="false">IF($B26="","",$AP$3)</f>
        <v>31</v>
      </c>
      <c r="AJ26" s="18" t="n">
        <f aca="false">IF($B26="","",COUNTIF(C26:AG26,TRUE()))</f>
        <v>0</v>
      </c>
      <c r="AK26" s="18" t="n">
        <f aca="false">IF($B26="","",AI26-AJ26)</f>
        <v>31</v>
      </c>
      <c r="AL26" s="19" t="n">
        <f aca="false">IF($B26="","",AJ26/AI26)</f>
        <v>0</v>
      </c>
      <c r="AM26" s="20" t="n">
        <f aca="false">IF($B26="","",AJ26/AI26)</f>
        <v>0</v>
      </c>
      <c r="AN26" s="21" t="n">
        <f aca="false">IF($B26="",-1,AM26-ROW()/100000)</f>
        <v>-0.00026</v>
      </c>
      <c r="AO26" s="1"/>
    </row>
    <row r="27" customFormat="false" ht="18" hidden="false" customHeight="true" outlineLevel="0" collapsed="false">
      <c r="A27" s="1"/>
      <c r="B27" s="16"/>
      <c r="C27" s="17" t="b">
        <f aca="false">FALSE()</f>
        <v>0</v>
      </c>
      <c r="D27" s="17" t="b">
        <f aca="false">FALSE()</f>
        <v>0</v>
      </c>
      <c r="E27" s="17" t="b">
        <f aca="false">FALSE()</f>
        <v>0</v>
      </c>
      <c r="F27" s="17" t="b">
        <f aca="false">FALSE()</f>
        <v>0</v>
      </c>
      <c r="G27" s="17" t="b">
        <f aca="false">FALSE()</f>
        <v>0</v>
      </c>
      <c r="H27" s="17" t="b">
        <f aca="false">FALSE()</f>
        <v>0</v>
      </c>
      <c r="I27" s="17" t="b">
        <f aca="false">FALSE()</f>
        <v>0</v>
      </c>
      <c r="J27" s="17" t="b">
        <f aca="false">FALSE()</f>
        <v>0</v>
      </c>
      <c r="K27" s="17" t="b">
        <f aca="false">FALSE()</f>
        <v>0</v>
      </c>
      <c r="L27" s="17" t="b">
        <f aca="false">FALSE()</f>
        <v>0</v>
      </c>
      <c r="M27" s="17" t="b">
        <f aca="false">FALSE()</f>
        <v>0</v>
      </c>
      <c r="N27" s="17" t="b">
        <f aca="false">FALSE()</f>
        <v>0</v>
      </c>
      <c r="O27" s="17" t="b">
        <f aca="false">FALSE()</f>
        <v>0</v>
      </c>
      <c r="P27" s="17" t="b">
        <f aca="false">FALSE()</f>
        <v>0</v>
      </c>
      <c r="Q27" s="17" t="b">
        <f aca="false">FALSE()</f>
        <v>0</v>
      </c>
      <c r="R27" s="17" t="b">
        <f aca="false">FALSE()</f>
        <v>0</v>
      </c>
      <c r="S27" s="17" t="b">
        <f aca="false">FALSE()</f>
        <v>0</v>
      </c>
      <c r="T27" s="17" t="b">
        <f aca="false">FALSE()</f>
        <v>0</v>
      </c>
      <c r="U27" s="17" t="b">
        <f aca="false">FALSE()</f>
        <v>0</v>
      </c>
      <c r="V27" s="17" t="b">
        <f aca="false">FALSE()</f>
        <v>0</v>
      </c>
      <c r="W27" s="17" t="b">
        <f aca="false">FALSE()</f>
        <v>0</v>
      </c>
      <c r="X27" s="17" t="b">
        <f aca="false">FALSE()</f>
        <v>0</v>
      </c>
      <c r="Y27" s="17" t="b">
        <f aca="false">FALSE()</f>
        <v>0</v>
      </c>
      <c r="Z27" s="17" t="b">
        <f aca="false">FALSE()</f>
        <v>0</v>
      </c>
      <c r="AA27" s="17" t="b">
        <f aca="false">FALSE()</f>
        <v>0</v>
      </c>
      <c r="AB27" s="17" t="b">
        <f aca="false">FALSE()</f>
        <v>0</v>
      </c>
      <c r="AC27" s="17" t="b">
        <f aca="false">FALSE()</f>
        <v>0</v>
      </c>
      <c r="AD27" s="17" t="b">
        <f aca="false">FALSE()</f>
        <v>0</v>
      </c>
      <c r="AE27" s="17" t="b">
        <f aca="false">FALSE()</f>
        <v>0</v>
      </c>
      <c r="AF27" s="17" t="b">
        <f aca="false">FALSE()</f>
        <v>0</v>
      </c>
      <c r="AG27" s="17" t="b">
        <f aca="false">FALSE()</f>
        <v>0</v>
      </c>
      <c r="AH27" s="1"/>
      <c r="AI27" s="18" t="str">
        <f aca="false">IF($B27="","",$AP$3)</f>
        <v/>
      </c>
      <c r="AJ27" s="18" t="str">
        <f aca="false">IF($B27="","",COUNTIF(C27:AG27,TRUE()))</f>
        <v/>
      </c>
      <c r="AK27" s="18" t="str">
        <f aca="false">IF($B27="","",AI27-AJ27)</f>
        <v/>
      </c>
      <c r="AL27" s="19" t="str">
        <f aca="false">IF($B27="","",AJ27/AI27)</f>
        <v/>
      </c>
      <c r="AM27" s="20" t="str">
        <f aca="false">IF($B27="","",AJ27/AI27)</f>
        <v/>
      </c>
      <c r="AN27" s="1" t="n">
        <f aca="false">IF($B27="",-1,AM27-ROW()/100000)</f>
        <v>-1</v>
      </c>
      <c r="AO27" s="1"/>
    </row>
    <row r="28" customFormat="false" ht="18" hidden="false" customHeight="true" outlineLevel="0" collapsed="false">
      <c r="A28" s="1"/>
      <c r="B28" s="16"/>
      <c r="C28" s="17" t="b">
        <f aca="false">FALSE()</f>
        <v>0</v>
      </c>
      <c r="D28" s="17" t="b">
        <f aca="false">FALSE()</f>
        <v>0</v>
      </c>
      <c r="E28" s="17" t="b">
        <f aca="false">FALSE()</f>
        <v>0</v>
      </c>
      <c r="F28" s="17" t="b">
        <f aca="false">FALSE()</f>
        <v>0</v>
      </c>
      <c r="G28" s="17" t="b">
        <f aca="false">FALSE()</f>
        <v>0</v>
      </c>
      <c r="H28" s="17" t="b">
        <f aca="false">FALSE()</f>
        <v>0</v>
      </c>
      <c r="I28" s="17" t="b">
        <f aca="false">FALSE()</f>
        <v>0</v>
      </c>
      <c r="J28" s="17" t="b">
        <f aca="false">FALSE()</f>
        <v>0</v>
      </c>
      <c r="K28" s="17" t="b">
        <f aca="false">FALSE()</f>
        <v>0</v>
      </c>
      <c r="L28" s="17" t="b">
        <f aca="false">FALSE()</f>
        <v>0</v>
      </c>
      <c r="M28" s="17" t="b">
        <f aca="false">FALSE()</f>
        <v>0</v>
      </c>
      <c r="N28" s="17" t="b">
        <f aca="false">FALSE()</f>
        <v>0</v>
      </c>
      <c r="O28" s="17" t="b">
        <f aca="false">FALSE()</f>
        <v>0</v>
      </c>
      <c r="P28" s="17" t="b">
        <f aca="false">FALSE()</f>
        <v>0</v>
      </c>
      <c r="Q28" s="17" t="b">
        <f aca="false">FALSE()</f>
        <v>0</v>
      </c>
      <c r="R28" s="17" t="b">
        <f aca="false">FALSE()</f>
        <v>0</v>
      </c>
      <c r="S28" s="17" t="b">
        <f aca="false">FALSE()</f>
        <v>0</v>
      </c>
      <c r="T28" s="17" t="b">
        <f aca="false">FALSE()</f>
        <v>0</v>
      </c>
      <c r="U28" s="17" t="b">
        <f aca="false">FALSE()</f>
        <v>0</v>
      </c>
      <c r="V28" s="17" t="b">
        <f aca="false">FALSE()</f>
        <v>0</v>
      </c>
      <c r="W28" s="17" t="b">
        <f aca="false">FALSE()</f>
        <v>0</v>
      </c>
      <c r="X28" s="17" t="b">
        <f aca="false">FALSE()</f>
        <v>0</v>
      </c>
      <c r="Y28" s="17" t="b">
        <f aca="false">FALSE()</f>
        <v>0</v>
      </c>
      <c r="Z28" s="17" t="b">
        <f aca="false">FALSE()</f>
        <v>0</v>
      </c>
      <c r="AA28" s="17" t="b">
        <f aca="false">FALSE()</f>
        <v>0</v>
      </c>
      <c r="AB28" s="17" t="b">
        <f aca="false">FALSE()</f>
        <v>0</v>
      </c>
      <c r="AC28" s="17" t="b">
        <f aca="false">FALSE()</f>
        <v>0</v>
      </c>
      <c r="AD28" s="17" t="b">
        <f aca="false">FALSE()</f>
        <v>0</v>
      </c>
      <c r="AE28" s="17" t="b">
        <f aca="false">FALSE()</f>
        <v>0</v>
      </c>
      <c r="AF28" s="17" t="b">
        <f aca="false">FALSE()</f>
        <v>0</v>
      </c>
      <c r="AG28" s="17" t="b">
        <f aca="false">FALSE()</f>
        <v>0</v>
      </c>
      <c r="AH28" s="1"/>
      <c r="AI28" s="18" t="str">
        <f aca="false">IF($B28="","",$AP$3)</f>
        <v/>
      </c>
      <c r="AJ28" s="18" t="str">
        <f aca="false">IF($B28="","",COUNTIF(C28:AG28,TRUE()))</f>
        <v/>
      </c>
      <c r="AK28" s="18" t="str">
        <f aca="false">IF($B28="","",AI28-AJ28)</f>
        <v/>
      </c>
      <c r="AL28" s="19" t="str">
        <f aca="false">IF($B28="","",AJ28/AI28)</f>
        <v/>
      </c>
      <c r="AM28" s="20" t="str">
        <f aca="false">IF($B28="","",AJ28/AI28)</f>
        <v/>
      </c>
      <c r="AN28" s="1" t="n">
        <f aca="false">IF($B28="",-1,AM28-ROW()/100000)</f>
        <v>-1</v>
      </c>
      <c r="AO28" s="1"/>
    </row>
    <row r="29" customFormat="false" ht="15" hidden="false" customHeight="false" outlineLevel="0" collapsed="false">
      <c r="A29" s="1"/>
      <c r="B29" s="22" t="s">
        <v>45</v>
      </c>
      <c r="C29" s="23" t="n">
        <f aca="false">IF(OR(C$16="",SUMPRODUCT(--(LEN($B$17:$B$28)&gt;0))=0),"",SUMPRODUCT(($B$17:$B$28&lt;&gt;"")*(C$17:C$28=TRUE()))/SUMPRODUCT(--(LEN($B$17:$B$28)&gt;0)))</f>
        <v>0</v>
      </c>
      <c r="D29" s="23" t="n">
        <f aca="false">IF(OR(D$16="",SUMPRODUCT(--(LEN($B$17:$B$28)&gt;0))=0),"",SUMPRODUCT(($B$17:$B$28&lt;&gt;"")*(D$17:D$28=TRUE()))/SUMPRODUCT(--(LEN($B$17:$B$28)&gt;0)))</f>
        <v>0</v>
      </c>
      <c r="E29" s="23" t="n">
        <f aca="false">IF(OR(E$16="",SUMPRODUCT(--(LEN($B$17:$B$28)&gt;0))=0),"",SUMPRODUCT(($B$17:$B$28&lt;&gt;"")*(E$17:E$28=TRUE()))/SUMPRODUCT(--(LEN($B$17:$B$28)&gt;0)))</f>
        <v>0</v>
      </c>
      <c r="F29" s="23" t="n">
        <f aca="false">IF(OR(F$16="",SUMPRODUCT(--(LEN($B$17:$B$28)&gt;0))=0),"",SUMPRODUCT(($B$17:$B$28&lt;&gt;"")*(F$17:F$28=TRUE()))/SUMPRODUCT(--(LEN($B$17:$B$28)&gt;0)))</f>
        <v>0</v>
      </c>
      <c r="G29" s="23" t="n">
        <f aca="false">IF(OR(G$16="",SUMPRODUCT(--(LEN($B$17:$B$28)&gt;0))=0),"",SUMPRODUCT(($B$17:$B$28&lt;&gt;"")*(G$17:G$28=TRUE()))/SUMPRODUCT(--(LEN($B$17:$B$28)&gt;0)))</f>
        <v>0</v>
      </c>
      <c r="H29" s="23" t="n">
        <f aca="false">IF(OR(H$16="",SUMPRODUCT(--(LEN($B$17:$B$28)&gt;0))=0),"",SUMPRODUCT(($B$17:$B$28&lt;&gt;"")*(H$17:H$28=TRUE()))/SUMPRODUCT(--(LEN($B$17:$B$28)&gt;0)))</f>
        <v>0</v>
      </c>
      <c r="I29" s="23" t="n">
        <f aca="false">IF(OR(I$16="",SUMPRODUCT(--(LEN($B$17:$B$28)&gt;0))=0),"",SUMPRODUCT(($B$17:$B$28&lt;&gt;"")*(I$17:I$28=TRUE()))/SUMPRODUCT(--(LEN($B$17:$B$28)&gt;0)))</f>
        <v>0</v>
      </c>
      <c r="J29" s="23" t="n">
        <f aca="false">IF(OR(J$16="",SUMPRODUCT(--(LEN($B$17:$B$28)&gt;0))=0),"",SUMPRODUCT(($B$17:$B$28&lt;&gt;"")*(J$17:J$28=TRUE()))/SUMPRODUCT(--(LEN($B$17:$B$28)&gt;0)))</f>
        <v>0</v>
      </c>
      <c r="K29" s="23" t="n">
        <f aca="false">IF(OR(K$16="",SUMPRODUCT(--(LEN($B$17:$B$28)&gt;0))=0),"",SUMPRODUCT(($B$17:$B$28&lt;&gt;"")*(K$17:K$28=TRUE()))/SUMPRODUCT(--(LEN($B$17:$B$28)&gt;0)))</f>
        <v>0</v>
      </c>
      <c r="L29" s="23" t="n">
        <f aca="false">IF(OR(L$16="",SUMPRODUCT(--(LEN($B$17:$B$28)&gt;0))=0),"",SUMPRODUCT(($B$17:$B$28&lt;&gt;"")*(L$17:L$28=TRUE()))/SUMPRODUCT(--(LEN($B$17:$B$28)&gt;0)))</f>
        <v>0</v>
      </c>
      <c r="M29" s="23" t="n">
        <f aca="false">IF(OR(M$16="",SUMPRODUCT(--(LEN($B$17:$B$28)&gt;0))=0),"",SUMPRODUCT(($B$17:$B$28&lt;&gt;"")*(M$17:M$28=TRUE()))/SUMPRODUCT(--(LEN($B$17:$B$28)&gt;0)))</f>
        <v>0</v>
      </c>
      <c r="N29" s="23" t="n">
        <f aca="false">IF(OR(N$16="",SUMPRODUCT(--(LEN($B$17:$B$28)&gt;0))=0),"",SUMPRODUCT(($B$17:$B$28&lt;&gt;"")*(N$17:N$28=TRUE()))/SUMPRODUCT(--(LEN($B$17:$B$28)&gt;0)))</f>
        <v>0</v>
      </c>
      <c r="O29" s="23" t="n">
        <f aca="false">IF(OR(O$16="",SUMPRODUCT(--(LEN($B$17:$B$28)&gt;0))=0),"",SUMPRODUCT(($B$17:$B$28&lt;&gt;"")*(O$17:O$28=TRUE()))/SUMPRODUCT(--(LEN($B$17:$B$28)&gt;0)))</f>
        <v>0</v>
      </c>
      <c r="P29" s="23" t="n">
        <f aca="false">IF(OR(P$16="",SUMPRODUCT(--(LEN($B$17:$B$28)&gt;0))=0),"",SUMPRODUCT(($B$17:$B$28&lt;&gt;"")*(P$17:P$28=TRUE()))/SUMPRODUCT(--(LEN($B$17:$B$28)&gt;0)))</f>
        <v>0</v>
      </c>
      <c r="Q29" s="23" t="n">
        <f aca="false">IF(OR(Q$16="",SUMPRODUCT(--(LEN($B$17:$B$28)&gt;0))=0),"",SUMPRODUCT(($B$17:$B$28&lt;&gt;"")*(Q$17:Q$28=TRUE()))/SUMPRODUCT(--(LEN($B$17:$B$28)&gt;0)))</f>
        <v>0</v>
      </c>
      <c r="R29" s="23" t="n">
        <f aca="false">IF(OR(R$16="",SUMPRODUCT(--(LEN($B$17:$B$28)&gt;0))=0),"",SUMPRODUCT(($B$17:$B$28&lt;&gt;"")*(R$17:R$28=TRUE()))/SUMPRODUCT(--(LEN($B$17:$B$28)&gt;0)))</f>
        <v>0</v>
      </c>
      <c r="S29" s="23" t="n">
        <f aca="false">IF(OR(S$16="",SUMPRODUCT(--(LEN($B$17:$B$28)&gt;0))=0),"",SUMPRODUCT(($B$17:$B$28&lt;&gt;"")*(S$17:S$28=TRUE()))/SUMPRODUCT(--(LEN($B$17:$B$28)&gt;0)))</f>
        <v>0</v>
      </c>
      <c r="T29" s="23" t="n">
        <f aca="false">IF(OR(T$16="",SUMPRODUCT(--(LEN($B$17:$B$28)&gt;0))=0),"",SUMPRODUCT(($B$17:$B$28&lt;&gt;"")*(T$17:T$28=TRUE()))/SUMPRODUCT(--(LEN($B$17:$B$28)&gt;0)))</f>
        <v>0</v>
      </c>
      <c r="U29" s="23" t="n">
        <f aca="false">IF(OR(U$16="",SUMPRODUCT(--(LEN($B$17:$B$28)&gt;0))=0),"",SUMPRODUCT(($B$17:$B$28&lt;&gt;"")*(U$17:U$28=TRUE()))/SUMPRODUCT(--(LEN($B$17:$B$28)&gt;0)))</f>
        <v>0</v>
      </c>
      <c r="V29" s="23" t="n">
        <f aca="false">IF(OR(V$16="",SUMPRODUCT(--(LEN($B$17:$B$28)&gt;0))=0),"",SUMPRODUCT(($B$17:$B$28&lt;&gt;"")*(V$17:V$28=TRUE()))/SUMPRODUCT(--(LEN($B$17:$B$28)&gt;0)))</f>
        <v>0</v>
      </c>
      <c r="W29" s="23" t="n">
        <f aca="false">IF(OR(W$16="",SUMPRODUCT(--(LEN($B$17:$B$28)&gt;0))=0),"",SUMPRODUCT(($B$17:$B$28&lt;&gt;"")*(W$17:W$28=TRUE()))/SUMPRODUCT(--(LEN($B$17:$B$28)&gt;0)))</f>
        <v>0</v>
      </c>
      <c r="X29" s="23" t="n">
        <f aca="false">IF(OR(X$16="",SUMPRODUCT(--(LEN($B$17:$B$28)&gt;0))=0),"",SUMPRODUCT(($B$17:$B$28&lt;&gt;"")*(X$17:X$28=TRUE()))/SUMPRODUCT(--(LEN($B$17:$B$28)&gt;0)))</f>
        <v>0</v>
      </c>
      <c r="Y29" s="23" t="n">
        <f aca="false">IF(OR(Y$16="",SUMPRODUCT(--(LEN($B$17:$B$28)&gt;0))=0),"",SUMPRODUCT(($B$17:$B$28&lt;&gt;"")*(Y$17:Y$28=TRUE()))/SUMPRODUCT(--(LEN($B$17:$B$28)&gt;0)))</f>
        <v>0</v>
      </c>
      <c r="Z29" s="23" t="n">
        <f aca="false">IF(OR(Z$16="",SUMPRODUCT(--(LEN($B$17:$B$28)&gt;0))=0),"",SUMPRODUCT(($B$17:$B$28&lt;&gt;"")*(Z$17:Z$28=TRUE()))/SUMPRODUCT(--(LEN($B$17:$B$28)&gt;0)))</f>
        <v>0</v>
      </c>
      <c r="AA29" s="23" t="n">
        <f aca="false">IF(OR(AA$16="",SUMPRODUCT(--(LEN($B$17:$B$28)&gt;0))=0),"",SUMPRODUCT(($B$17:$B$28&lt;&gt;"")*(AA$17:AA$28=TRUE()))/SUMPRODUCT(--(LEN($B$17:$B$28)&gt;0)))</f>
        <v>0</v>
      </c>
      <c r="AB29" s="23" t="n">
        <f aca="false">IF(OR(AB$16="",SUMPRODUCT(--(LEN($B$17:$B$28)&gt;0))=0),"",SUMPRODUCT(($B$17:$B$28&lt;&gt;"")*(AB$17:AB$28=TRUE()))/SUMPRODUCT(--(LEN($B$17:$B$28)&gt;0)))</f>
        <v>0</v>
      </c>
      <c r="AC29" s="23" t="n">
        <f aca="false">IF(OR(AC$16="",SUMPRODUCT(--(LEN($B$17:$B$28)&gt;0))=0),"",SUMPRODUCT(($B$17:$B$28&lt;&gt;"")*(AC$17:AC$28=TRUE()))/SUMPRODUCT(--(LEN($B$17:$B$28)&gt;0)))</f>
        <v>0</v>
      </c>
      <c r="AD29" s="23" t="n">
        <f aca="false">IF(OR(AD$16="",SUMPRODUCT(--(LEN($B$17:$B$28)&gt;0))=0),"",SUMPRODUCT(($B$17:$B$28&lt;&gt;"")*(AD$17:AD$28=TRUE()))/SUMPRODUCT(--(LEN($B$17:$B$28)&gt;0)))</f>
        <v>0</v>
      </c>
      <c r="AE29" s="23" t="n">
        <f aca="false">IF(OR(AE$16="",SUMPRODUCT(--(LEN($B$17:$B$28)&gt;0))=0),"",SUMPRODUCT(($B$17:$B$28&lt;&gt;"")*(AE$17:AE$28=TRUE()))/SUMPRODUCT(--(LEN($B$17:$B$28)&gt;0)))</f>
        <v>0</v>
      </c>
      <c r="AF29" s="23" t="n">
        <f aca="false">IF(OR(AF$16="",SUMPRODUCT(--(LEN($B$17:$B$28)&gt;0))=0),"",SUMPRODUCT(($B$17:$B$28&lt;&gt;"")*(AF$17:AF$28=TRUE()))/SUMPRODUCT(--(LEN($B$17:$B$28)&gt;0)))</f>
        <v>0</v>
      </c>
      <c r="AG29" s="23" t="n">
        <f aca="false">IF(OR(AG$16="",SUMPRODUCT(--(LEN($B$17:$B$28)&gt;0))=0),"",SUMPRODUCT(($B$17:$B$28&lt;&gt;"")*(AG$17:AG$28=TRUE()))/SUMPRODUCT(--(LEN($B$17:$B$28)&gt;0)))</f>
        <v>0</v>
      </c>
      <c r="AH29" s="1"/>
      <c r="AI29" s="1"/>
      <c r="AJ29" s="1"/>
      <c r="AK29" s="1"/>
      <c r="AL29" s="1"/>
      <c r="AM29" s="1"/>
      <c r="AN29" s="1"/>
      <c r="AO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</row>
    <row r="31" customFormat="false" ht="15" hidden="false" customHeight="false" outlineLevel="0" collapsed="false">
      <c r="A31" s="1"/>
      <c r="B31" s="24"/>
      <c r="C31" s="12" t="s">
        <v>46</v>
      </c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"/>
      <c r="AI31" s="25" t="s">
        <v>47</v>
      </c>
      <c r="AJ31" s="25"/>
      <c r="AK31" s="25"/>
      <c r="AL31" s="25"/>
      <c r="AM31" s="25"/>
      <c r="AN31" s="1"/>
      <c r="AO31" s="1"/>
    </row>
    <row r="32" customFormat="false" ht="15.75" hidden="false" customHeight="true" outlineLevel="0" collapsed="false">
      <c r="A32" s="1"/>
      <c r="B32" s="7" t="s">
        <v>48</v>
      </c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1"/>
      <c r="AI32" s="27" t="n">
        <v>1</v>
      </c>
      <c r="AJ32" s="28" t="str">
        <f aca="false">IF(LARGE($AN$17:$AN$28,1)&lt;0,"",INDEX($B$17:$B$28,MATCH(LARGE($AN$17:$AN$28,1),$AN$17:$AN$28,0)))</f>
        <v/>
      </c>
      <c r="AK32" s="28"/>
      <c r="AL32" s="28"/>
      <c r="AM32" s="29" t="str">
        <f aca="false">IF(AJ32="","",INDEX($AM$17:$AM$28,MATCH(LARGE($AN$17:$AN$28,1),$AN$17:$AN$28,0)))</f>
        <v/>
      </c>
      <c r="AN32" s="1"/>
      <c r="AO32" s="1"/>
    </row>
    <row r="33" customFormat="false" ht="15.75" hidden="false" customHeight="true" outlineLevel="0" collapsed="false">
      <c r="A33" s="1"/>
      <c r="B33" s="7" t="s">
        <v>49</v>
      </c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1"/>
      <c r="AI33" s="27" t="n">
        <v>2</v>
      </c>
      <c r="AJ33" s="28" t="str">
        <f aca="false">IF(LARGE($AN$17:$AN$28,2)&lt;0,"",INDEX($B$17:$B$28,MATCH(LARGE($AN$17:$AN$28,2),$AN$17:$AN$28,0)))</f>
        <v/>
      </c>
      <c r="AK33" s="28"/>
      <c r="AL33" s="28"/>
      <c r="AM33" s="29" t="str">
        <f aca="false">IF(AJ33="","",INDEX($AM$17:$AM$28,MATCH(LARGE($AN$17:$AN$28,2),$AN$17:$AN$28,0)))</f>
        <v/>
      </c>
      <c r="AN33" s="1"/>
      <c r="AO33" s="1"/>
    </row>
    <row r="34" customFormat="false" ht="15.75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27" t="n">
        <v>3</v>
      </c>
      <c r="AJ34" s="28" t="str">
        <f aca="false">IF(LARGE($AN$17:$AN$28,3)&lt;0,"",INDEX($B$17:$B$28,MATCH(LARGE($AN$17:$AN$28,3),$AN$17:$AN$28,0)))</f>
        <v/>
      </c>
      <c r="AK34" s="28"/>
      <c r="AL34" s="28"/>
      <c r="AM34" s="29" t="str">
        <f aca="false">IF(AJ34="","",INDEX($AM$17:$AM$28,MATCH(LARGE($AN$17:$AN$28,3),$AN$17:$AN$28,0)))</f>
        <v/>
      </c>
      <c r="AN34" s="1"/>
      <c r="AO34" s="1"/>
    </row>
    <row r="35" customFormat="false" ht="15.75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27" t="n">
        <v>4</v>
      </c>
      <c r="AJ35" s="28" t="str">
        <f aca="false">IF(LARGE($AN$17:$AN$28,4)&lt;0,"",INDEX($B$17:$B$28,MATCH(LARGE($AN$17:$AN$28,4),$AN$17:$AN$28,0)))</f>
        <v/>
      </c>
      <c r="AK35" s="28"/>
      <c r="AL35" s="28"/>
      <c r="AM35" s="29" t="str">
        <f aca="false">IF(AJ35="","",INDEX($AM$17:$AM$28,MATCH(LARGE($AN$17:$AN$28,4),$AN$17:$AN$28,0)))</f>
        <v/>
      </c>
      <c r="AN35" s="1"/>
      <c r="AO35" s="1"/>
    </row>
    <row r="36" customFormat="false" ht="15.75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27" t="n">
        <v>5</v>
      </c>
      <c r="AJ36" s="28" t="str">
        <f aca="false">IF(LARGE($AN$17:$AN$28,5)&lt;0,"",INDEX($B$17:$B$28,MATCH(LARGE($AN$17:$AN$28,5),$AN$17:$AN$28,0)))</f>
        <v/>
      </c>
      <c r="AK36" s="28"/>
      <c r="AL36" s="28"/>
      <c r="AM36" s="29" t="str">
        <f aca="false">IF(AJ36="","",INDEX($AM$17:$AM$28,MATCH(LARGE($AN$17:$AN$28,5),$AN$17:$AN$28,0)))</f>
        <v/>
      </c>
      <c r="AN36" s="1"/>
      <c r="AO36" s="1"/>
    </row>
    <row r="37" customFormat="false" ht="15.75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27" t="n">
        <v>6</v>
      </c>
      <c r="AJ37" s="28" t="str">
        <f aca="false">IF(LARGE($AN$17:$AN$28,6)&lt;0,"",INDEX($B$17:$B$28,MATCH(LARGE($AN$17:$AN$28,6),$AN$17:$AN$28,0)))</f>
        <v/>
      </c>
      <c r="AK37" s="28"/>
      <c r="AL37" s="28"/>
      <c r="AM37" s="29" t="str">
        <f aca="false">IF(AJ37="","",INDEX($AM$17:$AM$28,MATCH(LARGE($AN$17:$AN$28,6),$AN$17:$AN$28,0)))</f>
        <v/>
      </c>
      <c r="AN37" s="1"/>
      <c r="AO37" s="1"/>
    </row>
    <row r="38" customFormat="false" ht="15.75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27" t="n">
        <v>7</v>
      </c>
      <c r="AJ38" s="28" t="str">
        <f aca="false">IF(LARGE($AN$17:$AN$28,7)&lt;0,"",INDEX($B$17:$B$28,MATCH(LARGE($AN$17:$AN$28,7),$AN$17:$AN$28,0)))</f>
        <v/>
      </c>
      <c r="AK38" s="28"/>
      <c r="AL38" s="28"/>
      <c r="AM38" s="29" t="str">
        <f aca="false">IF(AJ38="","",INDEX($AM$17:$AM$28,MATCH(LARGE($AN$17:$AN$28,7),$AN$17:$AN$28,0)))</f>
        <v/>
      </c>
      <c r="AN38" s="1"/>
      <c r="AO38" s="1"/>
    </row>
    <row r="39" customFormat="false" ht="15.75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27" t="n">
        <v>8</v>
      </c>
      <c r="AJ39" s="28" t="str">
        <f aca="false">IF(LARGE($AN$17:$AN$28,8)&lt;0,"",INDEX($B$17:$B$28,MATCH(LARGE($AN$17:$AN$28,8),$AN$17:$AN$28,0)))</f>
        <v/>
      </c>
      <c r="AK39" s="28"/>
      <c r="AL39" s="28"/>
      <c r="AM39" s="29" t="str">
        <f aca="false">IF(AJ39="","",INDEX($AM$17:$AM$28,MATCH(LARGE($AN$17:$AN$28,8),$AN$17:$AN$28,0)))</f>
        <v/>
      </c>
      <c r="AN39" s="1"/>
      <c r="AO39" s="1"/>
    </row>
    <row r="40" customFormat="false" ht="15.75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27" t="n">
        <v>9</v>
      </c>
      <c r="AJ40" s="28" t="str">
        <f aca="false">IF(LARGE($AN$17:$AN$28,9)&lt;0,"",INDEX($B$17:$B$28,MATCH(LARGE($AN$17:$AN$28,9),$AN$17:$AN$28,0)))</f>
        <v/>
      </c>
      <c r="AK40" s="28"/>
      <c r="AL40" s="28"/>
      <c r="AM40" s="29" t="str">
        <f aca="false">IF(AJ40="","",INDEX($AM$17:$AM$28,MATCH(LARGE($AN$17:$AN$28,9),$AN$17:$AN$28,0)))</f>
        <v/>
      </c>
      <c r="AN40" s="1"/>
      <c r="AO40" s="1"/>
    </row>
    <row r="41" customFormat="false" ht="15.75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27" t="n">
        <v>10</v>
      </c>
      <c r="AJ41" s="28" t="str">
        <f aca="false">IF(LARGE($AN$17:$AN$28,10)&lt;0,"",INDEX($B$17:$B$28,MATCH(LARGE($AN$17:$AN$28,10),$AN$17:$AN$28,0)))</f>
        <v/>
      </c>
      <c r="AK41" s="28"/>
      <c r="AL41" s="28"/>
      <c r="AM41" s="29" t="str">
        <f aca="false">IF(AJ41="","",INDEX($AM$17:$AM$28,MATCH(LARGE($AN$17:$AN$28,10),$AN$17:$AN$28,0)))</f>
        <v/>
      </c>
      <c r="AN41" s="1"/>
      <c r="AO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</row>
    <row r="48" customFormat="false" ht="15" hidden="true" customHeight="false" outlineLevel="0" collapsed="false">
      <c r="A48" s="1"/>
      <c r="B48" s="1"/>
      <c r="C48" s="1" t="str">
        <f aca="false">IF(C$16="","",C$15)</f>
        <v>Su</v>
      </c>
      <c r="D48" s="1" t="str">
        <f aca="false">IF(D$16="","",D$15)</f>
        <v>Mo</v>
      </c>
      <c r="E48" s="1" t="str">
        <f aca="false">IF(E$16="","",E$15)</f>
        <v>Tu</v>
      </c>
      <c r="F48" s="1" t="str">
        <f aca="false">IF(F$16="","",F$15)</f>
        <v>We</v>
      </c>
      <c r="G48" s="1" t="str">
        <f aca="false">IF(G$16="","",G$15)</f>
        <v>Th</v>
      </c>
      <c r="H48" s="1" t="str">
        <f aca="false">IF(H$16="","",H$15)</f>
        <v>Fr</v>
      </c>
      <c r="I48" s="1" t="str">
        <f aca="false">IF(I$16="","",I$15)</f>
        <v>Sa</v>
      </c>
      <c r="J48" s="1" t="str">
        <f aca="false">IF(J$16="","",J$15)</f>
        <v>Su</v>
      </c>
      <c r="K48" s="1" t="str">
        <f aca="false">IF(K$16="","",K$15)</f>
        <v>Mo</v>
      </c>
      <c r="L48" s="1" t="str">
        <f aca="false">IF(L$16="","",L$15)</f>
        <v>Tu</v>
      </c>
      <c r="M48" s="1" t="str">
        <f aca="false">IF(M$16="","",M$15)</f>
        <v>We</v>
      </c>
      <c r="N48" s="1" t="str">
        <f aca="false">IF(N$16="","",N$15)</f>
        <v>Th</v>
      </c>
      <c r="O48" s="1" t="str">
        <f aca="false">IF(O$16="","",O$15)</f>
        <v>Fr</v>
      </c>
      <c r="P48" s="1" t="str">
        <f aca="false">IF(P$16="","",P$15)</f>
        <v>Sa</v>
      </c>
      <c r="Q48" s="1" t="str">
        <f aca="false">IF(Q$16="","",Q$15)</f>
        <v>Su</v>
      </c>
      <c r="R48" s="1" t="str">
        <f aca="false">IF(R$16="","",R$15)</f>
        <v>Mo</v>
      </c>
      <c r="S48" s="1" t="str">
        <f aca="false">IF(S$16="","",S$15)</f>
        <v>Tu</v>
      </c>
      <c r="T48" s="1" t="str">
        <f aca="false">IF(T$16="","",T$15)</f>
        <v>We</v>
      </c>
      <c r="U48" s="1" t="str">
        <f aca="false">IF(U$16="","",U$15)</f>
        <v>Th</v>
      </c>
      <c r="V48" s="1" t="str">
        <f aca="false">IF(V$16="","",V$15)</f>
        <v>Fr</v>
      </c>
      <c r="W48" s="1" t="str">
        <f aca="false">IF(W$16="","",W$15)</f>
        <v>Sa</v>
      </c>
      <c r="X48" s="1" t="str">
        <f aca="false">IF(X$16="","",X$15)</f>
        <v>Su</v>
      </c>
      <c r="Y48" s="1" t="str">
        <f aca="false">IF(Y$16="","",Y$15)</f>
        <v>Mo</v>
      </c>
      <c r="Z48" s="1" t="str">
        <f aca="false">IF(Z$16="","",Z$15)</f>
        <v>Tu</v>
      </c>
      <c r="AA48" s="1" t="str">
        <f aca="false">IF(AA$16="","",AA$15)</f>
        <v>We</v>
      </c>
      <c r="AB48" s="1" t="str">
        <f aca="false">IF(AB$16="","",AB$15)</f>
        <v>Th</v>
      </c>
      <c r="AC48" s="1" t="str">
        <f aca="false">IF(AC$16="","",AC$15)</f>
        <v>Fr</v>
      </c>
      <c r="AD48" s="1" t="str">
        <f aca="false">IF(AD$16="","",AD$15)</f>
        <v>Sa</v>
      </c>
      <c r="AE48" s="1" t="str">
        <f aca="false">IF(AE$16="","",AE$15)</f>
        <v>Su</v>
      </c>
      <c r="AF48" s="1" t="str">
        <f aca="false">IF(AF$16="","",AF$15)</f>
        <v>Mo</v>
      </c>
      <c r="AG48" s="1" t="str">
        <f aca="false">IF(AG$16="","",AG$15)</f>
        <v>Tu</v>
      </c>
      <c r="AH48" s="1"/>
      <c r="AI48" s="1"/>
      <c r="AJ48" s="1"/>
      <c r="AK48" s="1"/>
      <c r="AL48" s="1"/>
      <c r="AM48" s="1"/>
      <c r="AN48" s="1"/>
      <c r="AO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</row>
  </sheetData>
  <mergeCells count="31">
    <mergeCell ref="B2:B3"/>
    <mergeCell ref="C2:Z2"/>
    <mergeCell ref="AA2:AG2"/>
    <mergeCell ref="AI2:AJ2"/>
    <mergeCell ref="AK2:AM2"/>
    <mergeCell ref="AI3:AJ4"/>
    <mergeCell ref="AK3:AM4"/>
    <mergeCell ref="AI5:AJ5"/>
    <mergeCell ref="AI6:AJ7"/>
    <mergeCell ref="AI8:AJ8"/>
    <mergeCell ref="AI9:AJ10"/>
    <mergeCell ref="B10:B12"/>
    <mergeCell ref="B14:B16"/>
    <mergeCell ref="C14:I14"/>
    <mergeCell ref="J14:P14"/>
    <mergeCell ref="Q14:W14"/>
    <mergeCell ref="X14:AD14"/>
    <mergeCell ref="AE14:AG14"/>
    <mergeCell ref="AI14:AM15"/>
    <mergeCell ref="C31:AG31"/>
    <mergeCell ref="AI31:AM31"/>
    <mergeCell ref="AJ32:AL32"/>
    <mergeCell ref="AJ33:AL33"/>
    <mergeCell ref="AJ34:AL34"/>
    <mergeCell ref="AJ35:AL35"/>
    <mergeCell ref="AJ36:AL36"/>
    <mergeCell ref="AJ37:AL37"/>
    <mergeCell ref="AJ38:AL38"/>
    <mergeCell ref="AJ39:AL39"/>
    <mergeCell ref="AJ40:AL40"/>
    <mergeCell ref="AJ41:AL41"/>
  </mergeCells>
  <conditionalFormatting sqref="C17:AG28">
    <cfRule type="expression" priority="2" aboveAverage="0" equalAverage="0" bottom="0" percent="0" rank="0" text="" dxfId="0">
      <formula>C$16=""</formula>
    </cfRule>
    <cfRule type="expression" priority="3" aboveAverage="0" equalAverage="0" bottom="0" percent="0" rank="0" text="" dxfId="1">
      <formula>C17=1</formula>
    </cfRule>
    <cfRule type="expression" priority="4" aboveAverage="0" equalAverage="0" bottom="0" percent="0" rank="0" text="" dxfId="2">
      <formula>C17=0</formula>
    </cfRule>
  </conditionalFormatting>
  <conditionalFormatting sqref="C32:AG33">
    <cfRule type="expression" priority="5" aboveAverage="0" equalAverage="0" bottom="0" percent="0" rank="0" text="" dxfId="3">
      <formula>C$16=""</formula>
    </cfRule>
  </conditionalFormatting>
  <conditionalFormatting sqref="AL17:AL28">
    <cfRule type="dataBar" priority="6">
      <dataBar showValue="1" minLength="10" maxLength="90">
        <cfvo type="num" val="0"/>
        <cfvo type="num" val="1"/>
        <color rgb="FF1F2433"/>
      </dataBar>
      <extLst>
        <ext xmlns:x14="http://schemas.microsoft.com/office/spreadsheetml/2009/9/main" uri="{B025F937-C7B1-47D3-B67F-A62EFF666E3E}">
          <x14:id>{762EB22D-6528-4638-A93F-9337D4EB313C}</x14:id>
        </ext>
      </extLst>
    </cfRule>
  </conditionalFormatting>
  <dataValidations count="4">
    <dataValidation allowBlank="false" errorStyle="stop" operator="between" showDropDown="false" showErrorMessage="false" showInputMessage="false" sqref="B9" type="list">
      <formula1>"January,February,March,April,May,June,July,August,September,October,November,December"</formula1>
      <formula2>0</formula2>
    </dataValidation>
    <dataValidation allowBlank="true" errorStyle="stop" operator="between" showDropDown="false" showErrorMessage="false" showInputMessage="false" sqref="C17:AG28" type="list">
      <formula1>"TRUE,FALSE"</formula1>
      <formula2>0</formula2>
    </dataValidation>
    <dataValidation allowBlank="true" errorStyle="stop" operator="between" showDropDown="false" showErrorMessage="false" showInputMessage="false" sqref="C32:AG32" type="list">
      <formula1>"1,2,3,4,5,6,7,8,9,10"</formula1>
      <formula2>0</formula2>
    </dataValidation>
    <dataValidation allowBlank="true" errorStyle="stop" operator="between" showDropDown="false" showErrorMessage="false" showInputMessage="false" sqref="C33:AG33" type="list">
      <formula1>"0,1,2,3,4,5,6,7,8,9,10,11,12"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62EB22D-6528-4638-A93F-9337D4EB313C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1F2433"/>
              <x14:axisColor rgb="FF000000"/>
            </x14:dataBar>
          </x14:cfRule>
          <xm:sqref>AL17:AL28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433"/>
    <pageSetUpPr fitToPage="false"/>
  </sheetPr>
  <dimension ref="A1:AQ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0" topLeftCell="C1" activePane="topRight" state="frozen"/>
      <selection pane="topLeft" activeCell="A1" activeCellId="0" sqref="A1"/>
      <selection pane="top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3" min="3" style="0" width="3.9"/>
    <col collapsed="false" customWidth="true" hidden="false" outlineLevel="0" max="34" min="34" style="0" width="2"/>
    <col collapsed="false" customWidth="true" hidden="false" outlineLevel="0" max="36" min="35" style="0" width="8"/>
    <col collapsed="false" customWidth="true" hidden="false" outlineLevel="0" max="37" min="37" style="0" width="7"/>
    <col collapsed="false" customWidth="true" hidden="false" outlineLevel="0" max="38" min="38" style="0" width="14"/>
    <col collapsed="false" customWidth="true" hidden="false" outlineLevel="0" max="39" min="39" style="0" width="8"/>
    <col collapsed="false" customWidth="true" hidden="true" outlineLevel="0" max="43" min="40" style="0" width="13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Q1" s="2" t="s">
        <v>0</v>
      </c>
    </row>
    <row r="2" customFormat="false" ht="21.75" hidden="false" customHeight="true" outlineLevel="0" collapsed="false">
      <c r="A2" s="1"/>
      <c r="B2" s="3" t="s">
        <v>1</v>
      </c>
      <c r="C2" s="4" t="s">
        <v>2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 t="s">
        <v>3</v>
      </c>
      <c r="AB2" s="4"/>
      <c r="AC2" s="4"/>
      <c r="AD2" s="4"/>
      <c r="AE2" s="4"/>
      <c r="AF2" s="4"/>
      <c r="AG2" s="4"/>
      <c r="AH2" s="1"/>
      <c r="AI2" s="4" t="s">
        <v>4</v>
      </c>
      <c r="AJ2" s="4"/>
      <c r="AK2" s="4" t="s">
        <v>5</v>
      </c>
      <c r="AL2" s="4"/>
      <c r="AM2" s="4"/>
      <c r="AN2" s="1"/>
      <c r="AO2" s="1" t="s">
        <v>6</v>
      </c>
      <c r="AP2" s="2" t="n">
        <f aca="false">MATCH($B$9,$AQ$1:$AQ$12,0)</f>
        <v>4</v>
      </c>
      <c r="AQ2" s="2" t="s">
        <v>7</v>
      </c>
    </row>
    <row r="3" customFormat="false" ht="15.75" hidden="false" customHeight="true" outlineLevel="0" collapsed="false">
      <c r="A3" s="1"/>
      <c r="B3" s="3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5" t="n">
        <f aca="false">SUMPRODUCT(--(LEN($B$17:$B$28)&gt;0))*$AP$3</f>
        <v>300</v>
      </c>
      <c r="AJ3" s="5"/>
      <c r="AK3" s="6" t="n">
        <f aca="false">IF(AI3=0,0,AI6/AI3)</f>
        <v>0</v>
      </c>
      <c r="AL3" s="6"/>
      <c r="AM3" s="6"/>
      <c r="AN3" s="1"/>
      <c r="AO3" s="1" t="s">
        <v>8</v>
      </c>
      <c r="AP3" s="2" t="n">
        <f aca="false">DAY(DATE($B$7,$AP$2+1,0))</f>
        <v>30</v>
      </c>
      <c r="AQ3" s="2" t="s">
        <v>9</v>
      </c>
    </row>
    <row r="4" customFormat="false" ht="15.7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5"/>
      <c r="AJ4" s="5"/>
      <c r="AK4" s="6"/>
      <c r="AL4" s="6"/>
      <c r="AM4" s="6"/>
      <c r="AN4" s="1"/>
      <c r="AO4" s="1"/>
      <c r="AQ4" s="2" t="s">
        <v>10</v>
      </c>
    </row>
    <row r="5" customFormat="false" ht="15.75" hidden="false" customHeight="true" outlineLevel="0" collapsed="false">
      <c r="A5" s="1"/>
      <c r="B5" s="7" t="s">
        <v>11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4" t="s">
        <v>12</v>
      </c>
      <c r="AJ5" s="4"/>
      <c r="AK5" s="1"/>
      <c r="AL5" s="1"/>
      <c r="AM5" s="1"/>
      <c r="AN5" s="1"/>
      <c r="AO5" s="1" t="s">
        <v>12</v>
      </c>
      <c r="AP5" s="2" t="n">
        <f aca="false">AI6</f>
        <v>0</v>
      </c>
      <c r="AQ5" s="2" t="s">
        <v>13</v>
      </c>
    </row>
    <row r="6" customFormat="false" ht="15.75" hidden="false" customHeight="true" outlineLevel="0" collapsed="false">
      <c r="A6" s="1"/>
      <c r="B6" s="8" t="s">
        <v>14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5" t="n">
        <f aca="false">SUMPRODUCT(($B$17:$B$28&lt;&gt;"")*($C$17:$AG$28=TRUE()))</f>
        <v>0</v>
      </c>
      <c r="AJ6" s="5"/>
      <c r="AK6" s="1"/>
      <c r="AL6" s="1"/>
      <c r="AM6" s="1"/>
      <c r="AN6" s="1"/>
      <c r="AO6" s="1" t="s">
        <v>15</v>
      </c>
      <c r="AP6" s="2" t="n">
        <f aca="false">AI9</f>
        <v>300</v>
      </c>
      <c r="AQ6" s="2" t="s">
        <v>16</v>
      </c>
    </row>
    <row r="7" customFormat="false" ht="15.75" hidden="false" customHeight="true" outlineLevel="0" collapsed="false">
      <c r="A7" s="1"/>
      <c r="B7" s="30" t="n">
        <f aca="false">January!$B$7</f>
        <v>2026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5"/>
      <c r="AJ7" s="5"/>
      <c r="AK7" s="1"/>
      <c r="AL7" s="1"/>
      <c r="AM7" s="1"/>
      <c r="AN7" s="1"/>
      <c r="AO7" s="1"/>
      <c r="AQ7" s="2" t="s">
        <v>17</v>
      </c>
    </row>
    <row r="8" customFormat="false" ht="15.75" hidden="false" customHeight="true" outlineLevel="0" collapsed="false">
      <c r="A8" s="1"/>
      <c r="B8" s="8" t="s">
        <v>18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4" t="s">
        <v>15</v>
      </c>
      <c r="AJ8" s="4"/>
      <c r="AK8" s="1"/>
      <c r="AL8" s="1"/>
      <c r="AM8" s="1"/>
      <c r="AN8" s="1"/>
      <c r="AO8" s="1" t="s">
        <v>19</v>
      </c>
      <c r="AP8" s="2" t="n">
        <f aca="false">IF(OR(COUNTIF(C$16:I$16,"&gt;0")=0,SUMPRODUCT(--(LEN($B$17:$B$28)&gt;0))=0),0,SUMPRODUCT(($B$17:$B$28&lt;&gt;"")*(C$17:I$28=TRUE()))/(SUMPRODUCT(--(LEN($B$17:$B$28)&gt;0))*COUNTIF(C$16:I$16,"&gt;0")))</f>
        <v>0</v>
      </c>
      <c r="AQ8" s="2" t="s">
        <v>20</v>
      </c>
    </row>
    <row r="9" customFormat="false" ht="15.75" hidden="false" customHeight="true" outlineLevel="0" collapsed="false">
      <c r="A9" s="1"/>
      <c r="B9" s="9" t="s">
        <v>10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5" t="n">
        <f aca="false">AI3-AI6</f>
        <v>300</v>
      </c>
      <c r="AJ9" s="5"/>
      <c r="AK9" s="1"/>
      <c r="AL9" s="1"/>
      <c r="AM9" s="1"/>
      <c r="AN9" s="1"/>
      <c r="AO9" s="1" t="s">
        <v>21</v>
      </c>
      <c r="AP9" s="2" t="n">
        <f aca="false">IF(OR(COUNTIF(J$16:P$16,"&gt;0")=0,SUMPRODUCT(--(LEN($B$17:$B$28)&gt;0))=0),0,SUMPRODUCT(($B$17:$B$28&lt;&gt;"")*(J$17:P$28=TRUE()))/(SUMPRODUCT(--(LEN($B$17:$B$28)&gt;0))*COUNTIF(J$16:P$16,"&gt;0")))</f>
        <v>0</v>
      </c>
      <c r="AQ9" s="2" t="s">
        <v>22</v>
      </c>
    </row>
    <row r="10" customFormat="false" ht="15.75" hidden="false" customHeight="true" outlineLevel="0" collapsed="false">
      <c r="A10" s="1"/>
      <c r="B10" s="10" t="s">
        <v>23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5"/>
      <c r="AJ10" s="5"/>
      <c r="AK10" s="1"/>
      <c r="AL10" s="1"/>
      <c r="AM10" s="1"/>
      <c r="AN10" s="1"/>
      <c r="AO10" s="1" t="s">
        <v>24</v>
      </c>
      <c r="AP10" s="2" t="n">
        <f aca="false">IF(OR(COUNTIF(Q$16:W$16,"&gt;0")=0,SUMPRODUCT(--(LEN($B$17:$B$28)&gt;0))=0),0,SUMPRODUCT(($B$17:$B$28&lt;&gt;"")*(Q$17:W$28=TRUE()))/(SUMPRODUCT(--(LEN($B$17:$B$28)&gt;0))*COUNTIF(Q$16:W$16,"&gt;0")))</f>
        <v>0</v>
      </c>
      <c r="AQ10" s="2" t="s">
        <v>25</v>
      </c>
    </row>
    <row r="11" customFormat="false" ht="15.75" hidden="false" customHeight="true" outlineLevel="0" collapsed="false">
      <c r="A11" s="1"/>
      <c r="B11" s="10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 t="s">
        <v>26</v>
      </c>
      <c r="AP11" s="2" t="n">
        <f aca="false">IF(OR(COUNTIF(X$16:AD$16,"&gt;0")=0,SUMPRODUCT(--(LEN($B$17:$B$28)&gt;0))=0),0,SUMPRODUCT(($B$17:$B$28&lt;&gt;"")*(X$17:AD$28=TRUE()))/(SUMPRODUCT(--(LEN($B$17:$B$28)&gt;0))*COUNTIF(X$16:AD$16,"&gt;0")))</f>
        <v>0</v>
      </c>
      <c r="AQ11" s="2" t="s">
        <v>27</v>
      </c>
    </row>
    <row r="12" customFormat="false" ht="15.75" hidden="false" customHeight="true" outlineLevel="0" collapsed="false">
      <c r="A12" s="1"/>
      <c r="B12" s="10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 t="s">
        <v>28</v>
      </c>
      <c r="AP12" s="2" t="n">
        <f aca="false">IF(OR(COUNTIF(AE$16:AG$16,"&gt;0")=0,SUMPRODUCT(--(LEN($B$17:$B$28)&gt;0))=0),0,SUMPRODUCT(($B$17:$B$28&lt;&gt;"")*(AE$17:AG$28=TRUE()))/(SUMPRODUCT(--(LEN($B$17:$B$28)&gt;0))*COUNTIF(AE$16:AG$16,"&gt;0")))</f>
        <v>0</v>
      </c>
      <c r="AQ12" s="2" t="s">
        <v>29</v>
      </c>
    </row>
    <row r="13" customFormat="false" ht="15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</row>
    <row r="14" customFormat="false" ht="15" hidden="false" customHeight="false" outlineLevel="0" collapsed="false">
      <c r="A14" s="1"/>
      <c r="B14" s="11" t="s">
        <v>30</v>
      </c>
      <c r="C14" s="12" t="s">
        <v>19</v>
      </c>
      <c r="D14" s="12"/>
      <c r="E14" s="12"/>
      <c r="F14" s="12"/>
      <c r="G14" s="12"/>
      <c r="H14" s="12"/>
      <c r="I14" s="12"/>
      <c r="J14" s="12" t="s">
        <v>21</v>
      </c>
      <c r="K14" s="12"/>
      <c r="L14" s="12"/>
      <c r="M14" s="12"/>
      <c r="N14" s="12"/>
      <c r="O14" s="12"/>
      <c r="P14" s="12"/>
      <c r="Q14" s="12" t="s">
        <v>24</v>
      </c>
      <c r="R14" s="12"/>
      <c r="S14" s="12"/>
      <c r="T14" s="12"/>
      <c r="U14" s="12"/>
      <c r="V14" s="12"/>
      <c r="W14" s="12"/>
      <c r="X14" s="12" t="s">
        <v>26</v>
      </c>
      <c r="Y14" s="12"/>
      <c r="Z14" s="12"/>
      <c r="AA14" s="12"/>
      <c r="AB14" s="12"/>
      <c r="AC14" s="12"/>
      <c r="AD14" s="12"/>
      <c r="AE14" s="12" t="s">
        <v>28</v>
      </c>
      <c r="AF14" s="12"/>
      <c r="AG14" s="12"/>
      <c r="AH14" s="1"/>
      <c r="AI14" s="13" t="s">
        <v>31</v>
      </c>
      <c r="AJ14" s="13"/>
      <c r="AK14" s="13"/>
      <c r="AL14" s="13"/>
      <c r="AM14" s="13"/>
      <c r="AN14" s="1"/>
      <c r="AO14" s="1"/>
    </row>
    <row r="15" customFormat="false" ht="15" hidden="false" customHeight="false" outlineLevel="0" collapsed="false">
      <c r="A15" s="1"/>
      <c r="B15" s="11"/>
      <c r="C15" s="14" t="str">
        <f aca="false">IF(1&gt;$AP$3,"",CHOOSE(WEEKDAY(DATE($B$7,$AP$2,1)),"Su","Mo","Tu","We","Th","Fr","Sa"))</f>
        <v>We</v>
      </c>
      <c r="D15" s="14" t="str">
        <f aca="false">IF(2&gt;$AP$3,"",CHOOSE(WEEKDAY(DATE($B$7,$AP$2,2)),"Su","Mo","Tu","We","Th","Fr","Sa"))</f>
        <v>Th</v>
      </c>
      <c r="E15" s="14" t="str">
        <f aca="false">IF(3&gt;$AP$3,"",CHOOSE(WEEKDAY(DATE($B$7,$AP$2,3)),"Su","Mo","Tu","We","Th","Fr","Sa"))</f>
        <v>Fr</v>
      </c>
      <c r="F15" s="14" t="str">
        <f aca="false">IF(4&gt;$AP$3,"",CHOOSE(WEEKDAY(DATE($B$7,$AP$2,4)),"Su","Mo","Tu","We","Th","Fr","Sa"))</f>
        <v>Sa</v>
      </c>
      <c r="G15" s="14" t="str">
        <f aca="false">IF(5&gt;$AP$3,"",CHOOSE(WEEKDAY(DATE($B$7,$AP$2,5)),"Su","Mo","Tu","We","Th","Fr","Sa"))</f>
        <v>Su</v>
      </c>
      <c r="H15" s="14" t="str">
        <f aca="false">IF(6&gt;$AP$3,"",CHOOSE(WEEKDAY(DATE($B$7,$AP$2,6)),"Su","Mo","Tu","We","Th","Fr","Sa"))</f>
        <v>Mo</v>
      </c>
      <c r="I15" s="14" t="str">
        <f aca="false">IF(7&gt;$AP$3,"",CHOOSE(WEEKDAY(DATE($B$7,$AP$2,7)),"Su","Mo","Tu","We","Th","Fr","Sa"))</f>
        <v>Tu</v>
      </c>
      <c r="J15" s="14" t="str">
        <f aca="false">IF(8&gt;$AP$3,"",CHOOSE(WEEKDAY(DATE($B$7,$AP$2,8)),"Su","Mo","Tu","We","Th","Fr","Sa"))</f>
        <v>We</v>
      </c>
      <c r="K15" s="14" t="str">
        <f aca="false">IF(9&gt;$AP$3,"",CHOOSE(WEEKDAY(DATE($B$7,$AP$2,9)),"Su","Mo","Tu","We","Th","Fr","Sa"))</f>
        <v>Th</v>
      </c>
      <c r="L15" s="14" t="str">
        <f aca="false">IF(10&gt;$AP$3,"",CHOOSE(WEEKDAY(DATE($B$7,$AP$2,10)),"Su","Mo","Tu","We","Th","Fr","Sa"))</f>
        <v>Fr</v>
      </c>
      <c r="M15" s="14" t="str">
        <f aca="false">IF(11&gt;$AP$3,"",CHOOSE(WEEKDAY(DATE($B$7,$AP$2,11)),"Su","Mo","Tu","We","Th","Fr","Sa"))</f>
        <v>Sa</v>
      </c>
      <c r="N15" s="14" t="str">
        <f aca="false">IF(12&gt;$AP$3,"",CHOOSE(WEEKDAY(DATE($B$7,$AP$2,12)),"Su","Mo","Tu","We","Th","Fr","Sa"))</f>
        <v>Su</v>
      </c>
      <c r="O15" s="14" t="str">
        <f aca="false">IF(13&gt;$AP$3,"",CHOOSE(WEEKDAY(DATE($B$7,$AP$2,13)),"Su","Mo","Tu","We","Th","Fr","Sa"))</f>
        <v>Mo</v>
      </c>
      <c r="P15" s="14" t="str">
        <f aca="false">IF(14&gt;$AP$3,"",CHOOSE(WEEKDAY(DATE($B$7,$AP$2,14)),"Su","Mo","Tu","We","Th","Fr","Sa"))</f>
        <v>Tu</v>
      </c>
      <c r="Q15" s="14" t="str">
        <f aca="false">IF(15&gt;$AP$3,"",CHOOSE(WEEKDAY(DATE($B$7,$AP$2,15)),"Su","Mo","Tu","We","Th","Fr","Sa"))</f>
        <v>We</v>
      </c>
      <c r="R15" s="14" t="str">
        <f aca="false">IF(16&gt;$AP$3,"",CHOOSE(WEEKDAY(DATE($B$7,$AP$2,16)),"Su","Mo","Tu","We","Th","Fr","Sa"))</f>
        <v>Th</v>
      </c>
      <c r="S15" s="14" t="str">
        <f aca="false">IF(17&gt;$AP$3,"",CHOOSE(WEEKDAY(DATE($B$7,$AP$2,17)),"Su","Mo","Tu","We","Th","Fr","Sa"))</f>
        <v>Fr</v>
      </c>
      <c r="T15" s="14" t="str">
        <f aca="false">IF(18&gt;$AP$3,"",CHOOSE(WEEKDAY(DATE($B$7,$AP$2,18)),"Su","Mo","Tu","We","Th","Fr","Sa"))</f>
        <v>Sa</v>
      </c>
      <c r="U15" s="14" t="str">
        <f aca="false">IF(19&gt;$AP$3,"",CHOOSE(WEEKDAY(DATE($B$7,$AP$2,19)),"Su","Mo","Tu","We","Th","Fr","Sa"))</f>
        <v>Su</v>
      </c>
      <c r="V15" s="14" t="str">
        <f aca="false">IF(20&gt;$AP$3,"",CHOOSE(WEEKDAY(DATE($B$7,$AP$2,20)),"Su","Mo","Tu","We","Th","Fr","Sa"))</f>
        <v>Mo</v>
      </c>
      <c r="W15" s="14" t="str">
        <f aca="false">IF(21&gt;$AP$3,"",CHOOSE(WEEKDAY(DATE($B$7,$AP$2,21)),"Su","Mo","Tu","We","Th","Fr","Sa"))</f>
        <v>Tu</v>
      </c>
      <c r="X15" s="14" t="str">
        <f aca="false">IF(22&gt;$AP$3,"",CHOOSE(WEEKDAY(DATE($B$7,$AP$2,22)),"Su","Mo","Tu","We","Th","Fr","Sa"))</f>
        <v>We</v>
      </c>
      <c r="Y15" s="14" t="str">
        <f aca="false">IF(23&gt;$AP$3,"",CHOOSE(WEEKDAY(DATE($B$7,$AP$2,23)),"Su","Mo","Tu","We","Th","Fr","Sa"))</f>
        <v>Th</v>
      </c>
      <c r="Z15" s="14" t="str">
        <f aca="false">IF(24&gt;$AP$3,"",CHOOSE(WEEKDAY(DATE($B$7,$AP$2,24)),"Su","Mo","Tu","We","Th","Fr","Sa"))</f>
        <v>Fr</v>
      </c>
      <c r="AA15" s="14" t="str">
        <f aca="false">IF(25&gt;$AP$3,"",CHOOSE(WEEKDAY(DATE($B$7,$AP$2,25)),"Su","Mo","Tu","We","Th","Fr","Sa"))</f>
        <v>Sa</v>
      </c>
      <c r="AB15" s="14" t="str">
        <f aca="false">IF(26&gt;$AP$3,"",CHOOSE(WEEKDAY(DATE($B$7,$AP$2,26)),"Su","Mo","Tu","We","Th","Fr","Sa"))</f>
        <v>Su</v>
      </c>
      <c r="AC15" s="14" t="str">
        <f aca="false">IF(27&gt;$AP$3,"",CHOOSE(WEEKDAY(DATE($B$7,$AP$2,27)),"Su","Mo","Tu","We","Th","Fr","Sa"))</f>
        <v>Mo</v>
      </c>
      <c r="AD15" s="14" t="str">
        <f aca="false">IF(28&gt;$AP$3,"",CHOOSE(WEEKDAY(DATE($B$7,$AP$2,28)),"Su","Mo","Tu","We","Th","Fr","Sa"))</f>
        <v>Tu</v>
      </c>
      <c r="AE15" s="14" t="str">
        <f aca="false">IF(29&gt;$AP$3,"",CHOOSE(WEEKDAY(DATE($B$7,$AP$2,29)),"Su","Mo","Tu","We","Th","Fr","Sa"))</f>
        <v>We</v>
      </c>
      <c r="AF15" s="14" t="str">
        <f aca="false">IF(30&gt;$AP$3,"",CHOOSE(WEEKDAY(DATE($B$7,$AP$2,30)),"Su","Mo","Tu","We","Th","Fr","Sa"))</f>
        <v>Th</v>
      </c>
      <c r="AG15" s="14" t="str">
        <f aca="false">IF(31&gt;$AP$3,"",CHOOSE(WEEKDAY(DATE($B$7,$AP$2,31)),"Su","Mo","Tu","We","Th","Fr","Sa"))</f>
        <v/>
      </c>
      <c r="AH15" s="1"/>
      <c r="AI15" s="13"/>
      <c r="AJ15" s="13"/>
      <c r="AK15" s="13"/>
      <c r="AL15" s="13"/>
      <c r="AM15" s="13"/>
      <c r="AN15" s="1"/>
      <c r="AO15" s="1"/>
    </row>
    <row r="16" customFormat="false" ht="15" hidden="false" customHeight="false" outlineLevel="0" collapsed="false">
      <c r="A16" s="1"/>
      <c r="B16" s="11"/>
      <c r="C16" s="14" t="n">
        <f aca="false">IF(1&gt;$AP$3,"",1)</f>
        <v>1</v>
      </c>
      <c r="D16" s="14" t="n">
        <f aca="false">IF(2&gt;$AP$3,"",2)</f>
        <v>2</v>
      </c>
      <c r="E16" s="14" t="n">
        <f aca="false">IF(3&gt;$AP$3,"",3)</f>
        <v>3</v>
      </c>
      <c r="F16" s="14" t="n">
        <f aca="false">IF(4&gt;$AP$3,"",4)</f>
        <v>4</v>
      </c>
      <c r="G16" s="14" t="n">
        <f aca="false">IF(5&gt;$AP$3,"",5)</f>
        <v>5</v>
      </c>
      <c r="H16" s="14" t="n">
        <f aca="false">IF(6&gt;$AP$3,"",6)</f>
        <v>6</v>
      </c>
      <c r="I16" s="14" t="n">
        <f aca="false">IF(7&gt;$AP$3,"",7)</f>
        <v>7</v>
      </c>
      <c r="J16" s="14" t="n">
        <f aca="false">IF(8&gt;$AP$3,"",8)</f>
        <v>8</v>
      </c>
      <c r="K16" s="14" t="n">
        <f aca="false">IF(9&gt;$AP$3,"",9)</f>
        <v>9</v>
      </c>
      <c r="L16" s="14" t="n">
        <f aca="false">IF(10&gt;$AP$3,"",10)</f>
        <v>10</v>
      </c>
      <c r="M16" s="14" t="n">
        <f aca="false">IF(11&gt;$AP$3,"",11)</f>
        <v>11</v>
      </c>
      <c r="N16" s="14" t="n">
        <f aca="false">IF(12&gt;$AP$3,"",12)</f>
        <v>12</v>
      </c>
      <c r="O16" s="14" t="n">
        <f aca="false">IF(13&gt;$AP$3,"",13)</f>
        <v>13</v>
      </c>
      <c r="P16" s="14" t="n">
        <f aca="false">IF(14&gt;$AP$3,"",14)</f>
        <v>14</v>
      </c>
      <c r="Q16" s="14" t="n">
        <f aca="false">IF(15&gt;$AP$3,"",15)</f>
        <v>15</v>
      </c>
      <c r="R16" s="14" t="n">
        <f aca="false">IF(16&gt;$AP$3,"",16)</f>
        <v>16</v>
      </c>
      <c r="S16" s="14" t="n">
        <f aca="false">IF(17&gt;$AP$3,"",17)</f>
        <v>17</v>
      </c>
      <c r="T16" s="14" t="n">
        <f aca="false">IF(18&gt;$AP$3,"",18)</f>
        <v>18</v>
      </c>
      <c r="U16" s="14" t="n">
        <f aca="false">IF(19&gt;$AP$3,"",19)</f>
        <v>19</v>
      </c>
      <c r="V16" s="14" t="n">
        <f aca="false">IF(20&gt;$AP$3,"",20)</f>
        <v>20</v>
      </c>
      <c r="W16" s="14" t="n">
        <f aca="false">IF(21&gt;$AP$3,"",21)</f>
        <v>21</v>
      </c>
      <c r="X16" s="14" t="n">
        <f aca="false">IF(22&gt;$AP$3,"",22)</f>
        <v>22</v>
      </c>
      <c r="Y16" s="14" t="n">
        <f aca="false">IF(23&gt;$AP$3,"",23)</f>
        <v>23</v>
      </c>
      <c r="Z16" s="14" t="n">
        <f aca="false">IF(24&gt;$AP$3,"",24)</f>
        <v>24</v>
      </c>
      <c r="AA16" s="14" t="n">
        <f aca="false">IF(25&gt;$AP$3,"",25)</f>
        <v>25</v>
      </c>
      <c r="AB16" s="14" t="n">
        <f aca="false">IF(26&gt;$AP$3,"",26)</f>
        <v>26</v>
      </c>
      <c r="AC16" s="14" t="n">
        <f aca="false">IF(27&gt;$AP$3,"",27)</f>
        <v>27</v>
      </c>
      <c r="AD16" s="14" t="n">
        <f aca="false">IF(28&gt;$AP$3,"",28)</f>
        <v>28</v>
      </c>
      <c r="AE16" s="14" t="n">
        <f aca="false">IF(29&gt;$AP$3,"",29)</f>
        <v>29</v>
      </c>
      <c r="AF16" s="14" t="n">
        <f aca="false">IF(30&gt;$AP$3,"",30)</f>
        <v>30</v>
      </c>
      <c r="AG16" s="14" t="str">
        <f aca="false">IF(31&gt;$AP$3,"",31)</f>
        <v/>
      </c>
      <c r="AH16" s="1"/>
      <c r="AI16" s="15" t="s">
        <v>4</v>
      </c>
      <c r="AJ16" s="15" t="s">
        <v>32</v>
      </c>
      <c r="AK16" s="15" t="s">
        <v>15</v>
      </c>
      <c r="AL16" s="15" t="s">
        <v>33</v>
      </c>
      <c r="AM16" s="15" t="s">
        <v>34</v>
      </c>
      <c r="AN16" s="1"/>
      <c r="AO16" s="1"/>
    </row>
    <row r="17" customFormat="false" ht="18" hidden="false" customHeight="true" outlineLevel="0" collapsed="false">
      <c r="A17" s="1"/>
      <c r="B17" s="16" t="s">
        <v>35</v>
      </c>
      <c r="C17" s="17" t="b">
        <f aca="false">FALSE()</f>
        <v>0</v>
      </c>
      <c r="D17" s="17" t="b">
        <f aca="false">FALSE()</f>
        <v>0</v>
      </c>
      <c r="E17" s="17" t="b">
        <f aca="false">FALSE()</f>
        <v>0</v>
      </c>
      <c r="F17" s="17" t="b">
        <f aca="false">FALSE()</f>
        <v>0</v>
      </c>
      <c r="G17" s="17" t="b">
        <f aca="false">FALSE()</f>
        <v>0</v>
      </c>
      <c r="H17" s="17" t="b">
        <f aca="false">FALSE()</f>
        <v>0</v>
      </c>
      <c r="I17" s="17" t="b">
        <f aca="false">FALSE()</f>
        <v>0</v>
      </c>
      <c r="J17" s="17" t="b">
        <f aca="false">FALSE()</f>
        <v>0</v>
      </c>
      <c r="K17" s="17" t="b">
        <f aca="false">FALSE()</f>
        <v>0</v>
      </c>
      <c r="L17" s="17" t="b">
        <f aca="false">FALSE()</f>
        <v>0</v>
      </c>
      <c r="M17" s="17" t="b">
        <f aca="false">FALSE()</f>
        <v>0</v>
      </c>
      <c r="N17" s="17" t="b">
        <f aca="false">FALSE()</f>
        <v>0</v>
      </c>
      <c r="O17" s="17" t="b">
        <f aca="false">FALSE()</f>
        <v>0</v>
      </c>
      <c r="P17" s="17" t="b">
        <f aca="false">FALSE()</f>
        <v>0</v>
      </c>
      <c r="Q17" s="17" t="b">
        <f aca="false">FALSE()</f>
        <v>0</v>
      </c>
      <c r="R17" s="17" t="b">
        <f aca="false">FALSE()</f>
        <v>0</v>
      </c>
      <c r="S17" s="17" t="b">
        <f aca="false">FALSE()</f>
        <v>0</v>
      </c>
      <c r="T17" s="17" t="b">
        <f aca="false">FALSE()</f>
        <v>0</v>
      </c>
      <c r="U17" s="17" t="b">
        <f aca="false">FALSE()</f>
        <v>0</v>
      </c>
      <c r="V17" s="17" t="b">
        <f aca="false">FALSE()</f>
        <v>0</v>
      </c>
      <c r="W17" s="17" t="b">
        <f aca="false">FALSE()</f>
        <v>0</v>
      </c>
      <c r="X17" s="17" t="b">
        <f aca="false">FALSE()</f>
        <v>0</v>
      </c>
      <c r="Y17" s="17" t="b">
        <f aca="false">FALSE()</f>
        <v>0</v>
      </c>
      <c r="Z17" s="17" t="b">
        <f aca="false">FALSE()</f>
        <v>0</v>
      </c>
      <c r="AA17" s="17" t="b">
        <f aca="false">FALSE()</f>
        <v>0</v>
      </c>
      <c r="AB17" s="17" t="b">
        <f aca="false">FALSE()</f>
        <v>0</v>
      </c>
      <c r="AC17" s="17" t="b">
        <f aca="false">FALSE()</f>
        <v>0</v>
      </c>
      <c r="AD17" s="17" t="b">
        <f aca="false">FALSE()</f>
        <v>0</v>
      </c>
      <c r="AE17" s="17" t="b">
        <f aca="false">FALSE()</f>
        <v>0</v>
      </c>
      <c r="AF17" s="17" t="b">
        <f aca="false">FALSE()</f>
        <v>0</v>
      </c>
      <c r="AG17" s="17" t="b">
        <f aca="false">FALSE()</f>
        <v>0</v>
      </c>
      <c r="AH17" s="1"/>
      <c r="AI17" s="18" t="n">
        <f aca="false">IF($B17="","",$AP$3)</f>
        <v>30</v>
      </c>
      <c r="AJ17" s="18" t="n">
        <f aca="false">IF($B17="","",COUNTIF(C17:AG17,TRUE()))</f>
        <v>0</v>
      </c>
      <c r="AK17" s="18" t="n">
        <f aca="false">IF($B17="","",AI17-AJ17)</f>
        <v>30</v>
      </c>
      <c r="AL17" s="19" t="n">
        <f aca="false">IF($B17="","",AJ17/AI17)</f>
        <v>0</v>
      </c>
      <c r="AM17" s="20" t="n">
        <f aca="false">IF($B17="","",AJ17/AI17)</f>
        <v>0</v>
      </c>
      <c r="AN17" s="21" t="n">
        <f aca="false">IF($B17="",-1,AM17-ROW()/100000)</f>
        <v>-0.00017</v>
      </c>
      <c r="AO17" s="1"/>
    </row>
    <row r="18" customFormat="false" ht="18" hidden="false" customHeight="true" outlineLevel="0" collapsed="false">
      <c r="A18" s="1"/>
      <c r="B18" s="16" t="s">
        <v>36</v>
      </c>
      <c r="C18" s="17" t="b">
        <f aca="false">FALSE()</f>
        <v>0</v>
      </c>
      <c r="D18" s="17" t="b">
        <f aca="false">FALSE()</f>
        <v>0</v>
      </c>
      <c r="E18" s="17" t="b">
        <f aca="false">FALSE()</f>
        <v>0</v>
      </c>
      <c r="F18" s="17" t="b">
        <f aca="false">FALSE()</f>
        <v>0</v>
      </c>
      <c r="G18" s="17" t="b">
        <f aca="false">FALSE()</f>
        <v>0</v>
      </c>
      <c r="H18" s="17" t="b">
        <f aca="false">FALSE()</f>
        <v>0</v>
      </c>
      <c r="I18" s="17" t="b">
        <f aca="false">FALSE()</f>
        <v>0</v>
      </c>
      <c r="J18" s="17" t="b">
        <f aca="false">FALSE()</f>
        <v>0</v>
      </c>
      <c r="K18" s="17" t="b">
        <f aca="false">FALSE()</f>
        <v>0</v>
      </c>
      <c r="L18" s="17" t="b">
        <f aca="false">FALSE()</f>
        <v>0</v>
      </c>
      <c r="M18" s="17" t="b">
        <f aca="false">FALSE()</f>
        <v>0</v>
      </c>
      <c r="N18" s="17" t="b">
        <f aca="false">FALSE()</f>
        <v>0</v>
      </c>
      <c r="O18" s="17" t="b">
        <f aca="false">FALSE()</f>
        <v>0</v>
      </c>
      <c r="P18" s="17" t="b">
        <f aca="false">FALSE()</f>
        <v>0</v>
      </c>
      <c r="Q18" s="17" t="b">
        <f aca="false">FALSE()</f>
        <v>0</v>
      </c>
      <c r="R18" s="17" t="b">
        <f aca="false">FALSE()</f>
        <v>0</v>
      </c>
      <c r="S18" s="17" t="b">
        <f aca="false">FALSE()</f>
        <v>0</v>
      </c>
      <c r="T18" s="17" t="b">
        <f aca="false">FALSE()</f>
        <v>0</v>
      </c>
      <c r="U18" s="17" t="b">
        <f aca="false">FALSE()</f>
        <v>0</v>
      </c>
      <c r="V18" s="17" t="b">
        <f aca="false">FALSE()</f>
        <v>0</v>
      </c>
      <c r="W18" s="17" t="b">
        <f aca="false">FALSE()</f>
        <v>0</v>
      </c>
      <c r="X18" s="17" t="b">
        <f aca="false">FALSE()</f>
        <v>0</v>
      </c>
      <c r="Y18" s="17" t="b">
        <f aca="false">FALSE()</f>
        <v>0</v>
      </c>
      <c r="Z18" s="17" t="b">
        <f aca="false">FALSE()</f>
        <v>0</v>
      </c>
      <c r="AA18" s="17" t="b">
        <f aca="false">FALSE()</f>
        <v>0</v>
      </c>
      <c r="AB18" s="17" t="b">
        <f aca="false">FALSE()</f>
        <v>0</v>
      </c>
      <c r="AC18" s="17" t="b">
        <f aca="false">FALSE()</f>
        <v>0</v>
      </c>
      <c r="AD18" s="17" t="b">
        <f aca="false">FALSE()</f>
        <v>0</v>
      </c>
      <c r="AE18" s="17" t="b">
        <f aca="false">FALSE()</f>
        <v>0</v>
      </c>
      <c r="AF18" s="17" t="b">
        <f aca="false">FALSE()</f>
        <v>0</v>
      </c>
      <c r="AG18" s="17" t="b">
        <f aca="false">FALSE()</f>
        <v>0</v>
      </c>
      <c r="AH18" s="1"/>
      <c r="AI18" s="18" t="n">
        <f aca="false">IF($B18="","",$AP$3)</f>
        <v>30</v>
      </c>
      <c r="AJ18" s="18" t="n">
        <f aca="false">IF($B18="","",COUNTIF(C18:AG18,TRUE()))</f>
        <v>0</v>
      </c>
      <c r="AK18" s="18" t="n">
        <f aca="false">IF($B18="","",AI18-AJ18)</f>
        <v>30</v>
      </c>
      <c r="AL18" s="19" t="n">
        <f aca="false">IF($B18="","",AJ18/AI18)</f>
        <v>0</v>
      </c>
      <c r="AM18" s="20" t="n">
        <f aca="false">IF($B18="","",AJ18/AI18)</f>
        <v>0</v>
      </c>
      <c r="AN18" s="21" t="n">
        <f aca="false">IF($B18="",-1,AM18-ROW()/100000)</f>
        <v>-0.00018</v>
      </c>
      <c r="AO18" s="1"/>
    </row>
    <row r="19" customFormat="false" ht="18" hidden="false" customHeight="true" outlineLevel="0" collapsed="false">
      <c r="A19" s="1"/>
      <c r="B19" s="16" t="s">
        <v>37</v>
      </c>
      <c r="C19" s="17" t="b">
        <f aca="false">FALSE()</f>
        <v>0</v>
      </c>
      <c r="D19" s="17" t="b">
        <f aca="false">FALSE()</f>
        <v>0</v>
      </c>
      <c r="E19" s="17" t="b">
        <f aca="false">FALSE()</f>
        <v>0</v>
      </c>
      <c r="F19" s="17" t="b">
        <f aca="false">FALSE()</f>
        <v>0</v>
      </c>
      <c r="G19" s="17" t="b">
        <f aca="false">FALSE()</f>
        <v>0</v>
      </c>
      <c r="H19" s="17" t="b">
        <f aca="false">FALSE()</f>
        <v>0</v>
      </c>
      <c r="I19" s="17" t="b">
        <f aca="false">FALSE()</f>
        <v>0</v>
      </c>
      <c r="J19" s="17" t="b">
        <f aca="false">FALSE()</f>
        <v>0</v>
      </c>
      <c r="K19" s="17" t="b">
        <f aca="false">FALSE()</f>
        <v>0</v>
      </c>
      <c r="L19" s="17" t="b">
        <f aca="false">FALSE()</f>
        <v>0</v>
      </c>
      <c r="M19" s="17" t="b">
        <f aca="false">FALSE()</f>
        <v>0</v>
      </c>
      <c r="N19" s="17" t="b">
        <f aca="false">FALSE()</f>
        <v>0</v>
      </c>
      <c r="O19" s="17" t="b">
        <f aca="false">FALSE()</f>
        <v>0</v>
      </c>
      <c r="P19" s="17" t="b">
        <f aca="false">FALSE()</f>
        <v>0</v>
      </c>
      <c r="Q19" s="17" t="b">
        <f aca="false">FALSE()</f>
        <v>0</v>
      </c>
      <c r="R19" s="17" t="b">
        <f aca="false">FALSE()</f>
        <v>0</v>
      </c>
      <c r="S19" s="17" t="b">
        <f aca="false">FALSE()</f>
        <v>0</v>
      </c>
      <c r="T19" s="17" t="b">
        <f aca="false">FALSE()</f>
        <v>0</v>
      </c>
      <c r="U19" s="17" t="b">
        <f aca="false">FALSE()</f>
        <v>0</v>
      </c>
      <c r="V19" s="17" t="b">
        <f aca="false">FALSE()</f>
        <v>0</v>
      </c>
      <c r="W19" s="17" t="b">
        <f aca="false">FALSE()</f>
        <v>0</v>
      </c>
      <c r="X19" s="17" t="b">
        <f aca="false">FALSE()</f>
        <v>0</v>
      </c>
      <c r="Y19" s="17" t="b">
        <f aca="false">FALSE()</f>
        <v>0</v>
      </c>
      <c r="Z19" s="17" t="b">
        <f aca="false">FALSE()</f>
        <v>0</v>
      </c>
      <c r="AA19" s="17" t="b">
        <f aca="false">FALSE()</f>
        <v>0</v>
      </c>
      <c r="AB19" s="17" t="b">
        <f aca="false">FALSE()</f>
        <v>0</v>
      </c>
      <c r="AC19" s="17" t="b">
        <f aca="false">FALSE()</f>
        <v>0</v>
      </c>
      <c r="AD19" s="17" t="b">
        <f aca="false">FALSE()</f>
        <v>0</v>
      </c>
      <c r="AE19" s="17" t="b">
        <f aca="false">FALSE()</f>
        <v>0</v>
      </c>
      <c r="AF19" s="17" t="b">
        <f aca="false">FALSE()</f>
        <v>0</v>
      </c>
      <c r="AG19" s="17" t="b">
        <f aca="false">FALSE()</f>
        <v>0</v>
      </c>
      <c r="AH19" s="1"/>
      <c r="AI19" s="18" t="n">
        <f aca="false">IF($B19="","",$AP$3)</f>
        <v>30</v>
      </c>
      <c r="AJ19" s="18" t="n">
        <f aca="false">IF($B19="","",COUNTIF(C19:AG19,TRUE()))</f>
        <v>0</v>
      </c>
      <c r="AK19" s="18" t="n">
        <f aca="false">IF($B19="","",AI19-AJ19)</f>
        <v>30</v>
      </c>
      <c r="AL19" s="19" t="n">
        <f aca="false">IF($B19="","",AJ19/AI19)</f>
        <v>0</v>
      </c>
      <c r="AM19" s="20" t="n">
        <f aca="false">IF($B19="","",AJ19/AI19)</f>
        <v>0</v>
      </c>
      <c r="AN19" s="21" t="n">
        <f aca="false">IF($B19="",-1,AM19-ROW()/100000)</f>
        <v>-0.00019</v>
      </c>
      <c r="AO19" s="1"/>
    </row>
    <row r="20" customFormat="false" ht="18" hidden="false" customHeight="true" outlineLevel="0" collapsed="false">
      <c r="A20" s="1"/>
      <c r="B20" s="16" t="s">
        <v>38</v>
      </c>
      <c r="C20" s="17" t="b">
        <f aca="false">FALSE()</f>
        <v>0</v>
      </c>
      <c r="D20" s="17" t="b">
        <f aca="false">FALSE()</f>
        <v>0</v>
      </c>
      <c r="E20" s="17" t="b">
        <f aca="false">FALSE()</f>
        <v>0</v>
      </c>
      <c r="F20" s="17" t="b">
        <f aca="false">FALSE()</f>
        <v>0</v>
      </c>
      <c r="G20" s="17" t="b">
        <f aca="false">FALSE()</f>
        <v>0</v>
      </c>
      <c r="H20" s="17" t="b">
        <f aca="false">FALSE()</f>
        <v>0</v>
      </c>
      <c r="I20" s="17" t="b">
        <f aca="false">FALSE()</f>
        <v>0</v>
      </c>
      <c r="J20" s="17" t="b">
        <f aca="false">FALSE()</f>
        <v>0</v>
      </c>
      <c r="K20" s="17" t="b">
        <f aca="false">FALSE()</f>
        <v>0</v>
      </c>
      <c r="L20" s="17" t="b">
        <f aca="false">FALSE()</f>
        <v>0</v>
      </c>
      <c r="M20" s="17" t="b">
        <f aca="false">FALSE()</f>
        <v>0</v>
      </c>
      <c r="N20" s="17" t="b">
        <f aca="false">FALSE()</f>
        <v>0</v>
      </c>
      <c r="O20" s="17" t="b">
        <f aca="false">FALSE()</f>
        <v>0</v>
      </c>
      <c r="P20" s="17" t="b">
        <f aca="false">FALSE()</f>
        <v>0</v>
      </c>
      <c r="Q20" s="17" t="b">
        <f aca="false">FALSE()</f>
        <v>0</v>
      </c>
      <c r="R20" s="17" t="b">
        <f aca="false">FALSE()</f>
        <v>0</v>
      </c>
      <c r="S20" s="17" t="b">
        <f aca="false">FALSE()</f>
        <v>0</v>
      </c>
      <c r="T20" s="17" t="b">
        <f aca="false">FALSE()</f>
        <v>0</v>
      </c>
      <c r="U20" s="17" t="b">
        <f aca="false">FALSE()</f>
        <v>0</v>
      </c>
      <c r="V20" s="17" t="b">
        <f aca="false">FALSE()</f>
        <v>0</v>
      </c>
      <c r="W20" s="17" t="b">
        <f aca="false">FALSE()</f>
        <v>0</v>
      </c>
      <c r="X20" s="17" t="b">
        <f aca="false">FALSE()</f>
        <v>0</v>
      </c>
      <c r="Y20" s="17" t="b">
        <f aca="false">FALSE()</f>
        <v>0</v>
      </c>
      <c r="Z20" s="17" t="b">
        <f aca="false">FALSE()</f>
        <v>0</v>
      </c>
      <c r="AA20" s="17" t="b">
        <f aca="false">FALSE()</f>
        <v>0</v>
      </c>
      <c r="AB20" s="17" t="b">
        <f aca="false">FALSE()</f>
        <v>0</v>
      </c>
      <c r="AC20" s="17" t="b">
        <f aca="false">FALSE()</f>
        <v>0</v>
      </c>
      <c r="AD20" s="17" t="b">
        <f aca="false">FALSE()</f>
        <v>0</v>
      </c>
      <c r="AE20" s="17" t="b">
        <f aca="false">FALSE()</f>
        <v>0</v>
      </c>
      <c r="AF20" s="17" t="b">
        <f aca="false">FALSE()</f>
        <v>0</v>
      </c>
      <c r="AG20" s="17" t="b">
        <f aca="false">FALSE()</f>
        <v>0</v>
      </c>
      <c r="AH20" s="1"/>
      <c r="AI20" s="18" t="n">
        <f aca="false">IF($B20="","",$AP$3)</f>
        <v>30</v>
      </c>
      <c r="AJ20" s="18" t="n">
        <f aca="false">IF($B20="","",COUNTIF(C20:AG20,TRUE()))</f>
        <v>0</v>
      </c>
      <c r="AK20" s="18" t="n">
        <f aca="false">IF($B20="","",AI20-AJ20)</f>
        <v>30</v>
      </c>
      <c r="AL20" s="19" t="n">
        <f aca="false">IF($B20="","",AJ20/AI20)</f>
        <v>0</v>
      </c>
      <c r="AM20" s="20" t="n">
        <f aca="false">IF($B20="","",AJ20/AI20)</f>
        <v>0</v>
      </c>
      <c r="AN20" s="21" t="n">
        <f aca="false">IF($B20="",-1,AM20-ROW()/100000)</f>
        <v>-0.0002</v>
      </c>
      <c r="AO20" s="1"/>
    </row>
    <row r="21" customFormat="false" ht="18" hidden="false" customHeight="true" outlineLevel="0" collapsed="false">
      <c r="A21" s="1"/>
      <c r="B21" s="16" t="s">
        <v>39</v>
      </c>
      <c r="C21" s="17" t="b">
        <f aca="false">FALSE()</f>
        <v>0</v>
      </c>
      <c r="D21" s="17" t="b">
        <f aca="false">FALSE()</f>
        <v>0</v>
      </c>
      <c r="E21" s="17" t="b">
        <f aca="false">FALSE()</f>
        <v>0</v>
      </c>
      <c r="F21" s="17" t="b">
        <f aca="false">FALSE()</f>
        <v>0</v>
      </c>
      <c r="G21" s="17" t="b">
        <f aca="false">FALSE()</f>
        <v>0</v>
      </c>
      <c r="H21" s="17" t="b">
        <f aca="false">FALSE()</f>
        <v>0</v>
      </c>
      <c r="I21" s="17" t="b">
        <f aca="false">FALSE()</f>
        <v>0</v>
      </c>
      <c r="J21" s="17" t="b">
        <f aca="false">FALSE()</f>
        <v>0</v>
      </c>
      <c r="K21" s="17" t="b">
        <f aca="false">FALSE()</f>
        <v>0</v>
      </c>
      <c r="L21" s="17" t="b">
        <f aca="false">FALSE()</f>
        <v>0</v>
      </c>
      <c r="M21" s="17" t="b">
        <f aca="false">FALSE()</f>
        <v>0</v>
      </c>
      <c r="N21" s="17" t="b">
        <f aca="false">FALSE()</f>
        <v>0</v>
      </c>
      <c r="O21" s="17" t="b">
        <f aca="false">FALSE()</f>
        <v>0</v>
      </c>
      <c r="P21" s="17" t="b">
        <f aca="false">FALSE()</f>
        <v>0</v>
      </c>
      <c r="Q21" s="17" t="b">
        <f aca="false">FALSE()</f>
        <v>0</v>
      </c>
      <c r="R21" s="17" t="b">
        <f aca="false">FALSE()</f>
        <v>0</v>
      </c>
      <c r="S21" s="17" t="b">
        <f aca="false">FALSE()</f>
        <v>0</v>
      </c>
      <c r="T21" s="17" t="b">
        <f aca="false">FALSE()</f>
        <v>0</v>
      </c>
      <c r="U21" s="17" t="b">
        <f aca="false">FALSE()</f>
        <v>0</v>
      </c>
      <c r="V21" s="17" t="b">
        <f aca="false">FALSE()</f>
        <v>0</v>
      </c>
      <c r="W21" s="17" t="b">
        <f aca="false">FALSE()</f>
        <v>0</v>
      </c>
      <c r="X21" s="17" t="b">
        <f aca="false">FALSE()</f>
        <v>0</v>
      </c>
      <c r="Y21" s="17" t="b">
        <f aca="false">FALSE()</f>
        <v>0</v>
      </c>
      <c r="Z21" s="17" t="b">
        <f aca="false">FALSE()</f>
        <v>0</v>
      </c>
      <c r="AA21" s="17" t="b">
        <f aca="false">FALSE()</f>
        <v>0</v>
      </c>
      <c r="AB21" s="17" t="b">
        <f aca="false">FALSE()</f>
        <v>0</v>
      </c>
      <c r="AC21" s="17" t="b">
        <f aca="false">FALSE()</f>
        <v>0</v>
      </c>
      <c r="AD21" s="17" t="b">
        <f aca="false">FALSE()</f>
        <v>0</v>
      </c>
      <c r="AE21" s="17" t="b">
        <f aca="false">FALSE()</f>
        <v>0</v>
      </c>
      <c r="AF21" s="17" t="b">
        <f aca="false">FALSE()</f>
        <v>0</v>
      </c>
      <c r="AG21" s="17" t="b">
        <f aca="false">FALSE()</f>
        <v>0</v>
      </c>
      <c r="AH21" s="1"/>
      <c r="AI21" s="18" t="n">
        <f aca="false">IF($B21="","",$AP$3)</f>
        <v>30</v>
      </c>
      <c r="AJ21" s="18" t="n">
        <f aca="false">IF($B21="","",COUNTIF(C21:AG21,TRUE()))</f>
        <v>0</v>
      </c>
      <c r="AK21" s="18" t="n">
        <f aca="false">IF($B21="","",AI21-AJ21)</f>
        <v>30</v>
      </c>
      <c r="AL21" s="19" t="n">
        <f aca="false">IF($B21="","",AJ21/AI21)</f>
        <v>0</v>
      </c>
      <c r="AM21" s="20" t="n">
        <f aca="false">IF($B21="","",AJ21/AI21)</f>
        <v>0</v>
      </c>
      <c r="AN21" s="21" t="n">
        <f aca="false">IF($B21="",-1,AM21-ROW()/100000)</f>
        <v>-0.00021</v>
      </c>
      <c r="AO21" s="1"/>
    </row>
    <row r="22" customFormat="false" ht="18" hidden="false" customHeight="true" outlineLevel="0" collapsed="false">
      <c r="A22" s="1"/>
      <c r="B22" s="16" t="s">
        <v>40</v>
      </c>
      <c r="C22" s="17" t="b">
        <f aca="false">FALSE()</f>
        <v>0</v>
      </c>
      <c r="D22" s="17" t="b">
        <f aca="false">FALSE()</f>
        <v>0</v>
      </c>
      <c r="E22" s="17" t="b">
        <f aca="false">FALSE()</f>
        <v>0</v>
      </c>
      <c r="F22" s="17" t="b">
        <f aca="false">FALSE()</f>
        <v>0</v>
      </c>
      <c r="G22" s="17" t="b">
        <f aca="false">FALSE()</f>
        <v>0</v>
      </c>
      <c r="H22" s="17" t="b">
        <f aca="false">FALSE()</f>
        <v>0</v>
      </c>
      <c r="I22" s="17" t="b">
        <f aca="false">FALSE()</f>
        <v>0</v>
      </c>
      <c r="J22" s="17" t="b">
        <f aca="false">FALSE()</f>
        <v>0</v>
      </c>
      <c r="K22" s="17" t="b">
        <f aca="false">FALSE()</f>
        <v>0</v>
      </c>
      <c r="L22" s="17" t="b">
        <f aca="false">FALSE()</f>
        <v>0</v>
      </c>
      <c r="M22" s="17" t="b">
        <f aca="false">FALSE()</f>
        <v>0</v>
      </c>
      <c r="N22" s="17" t="b">
        <f aca="false">FALSE()</f>
        <v>0</v>
      </c>
      <c r="O22" s="17" t="b">
        <f aca="false">FALSE()</f>
        <v>0</v>
      </c>
      <c r="P22" s="17" t="b">
        <f aca="false">FALSE()</f>
        <v>0</v>
      </c>
      <c r="Q22" s="17" t="b">
        <f aca="false">FALSE()</f>
        <v>0</v>
      </c>
      <c r="R22" s="17" t="b">
        <f aca="false">FALSE()</f>
        <v>0</v>
      </c>
      <c r="S22" s="17" t="b">
        <f aca="false">FALSE()</f>
        <v>0</v>
      </c>
      <c r="T22" s="17" t="b">
        <f aca="false">FALSE()</f>
        <v>0</v>
      </c>
      <c r="U22" s="17" t="b">
        <f aca="false">FALSE()</f>
        <v>0</v>
      </c>
      <c r="V22" s="17" t="b">
        <f aca="false">FALSE()</f>
        <v>0</v>
      </c>
      <c r="W22" s="17" t="b">
        <f aca="false">FALSE()</f>
        <v>0</v>
      </c>
      <c r="X22" s="17" t="b">
        <f aca="false">FALSE()</f>
        <v>0</v>
      </c>
      <c r="Y22" s="17" t="b">
        <f aca="false">FALSE()</f>
        <v>0</v>
      </c>
      <c r="Z22" s="17" t="b">
        <f aca="false">FALSE()</f>
        <v>0</v>
      </c>
      <c r="AA22" s="17" t="b">
        <f aca="false">FALSE()</f>
        <v>0</v>
      </c>
      <c r="AB22" s="17" t="b">
        <f aca="false">FALSE()</f>
        <v>0</v>
      </c>
      <c r="AC22" s="17" t="b">
        <f aca="false">FALSE()</f>
        <v>0</v>
      </c>
      <c r="AD22" s="17" t="b">
        <f aca="false">FALSE()</f>
        <v>0</v>
      </c>
      <c r="AE22" s="17" t="b">
        <f aca="false">FALSE()</f>
        <v>0</v>
      </c>
      <c r="AF22" s="17" t="b">
        <f aca="false">FALSE()</f>
        <v>0</v>
      </c>
      <c r="AG22" s="17" t="b">
        <f aca="false">FALSE()</f>
        <v>0</v>
      </c>
      <c r="AH22" s="1"/>
      <c r="AI22" s="18" t="n">
        <f aca="false">IF($B22="","",$AP$3)</f>
        <v>30</v>
      </c>
      <c r="AJ22" s="18" t="n">
        <f aca="false">IF($B22="","",COUNTIF(C22:AG22,TRUE()))</f>
        <v>0</v>
      </c>
      <c r="AK22" s="18" t="n">
        <f aca="false">IF($B22="","",AI22-AJ22)</f>
        <v>30</v>
      </c>
      <c r="AL22" s="19" t="n">
        <f aca="false">IF($B22="","",AJ22/AI22)</f>
        <v>0</v>
      </c>
      <c r="AM22" s="20" t="n">
        <f aca="false">IF($B22="","",AJ22/AI22)</f>
        <v>0</v>
      </c>
      <c r="AN22" s="21" t="n">
        <f aca="false">IF($B22="",-1,AM22-ROW()/100000)</f>
        <v>-0.00022</v>
      </c>
      <c r="AO22" s="1"/>
    </row>
    <row r="23" customFormat="false" ht="18" hidden="false" customHeight="true" outlineLevel="0" collapsed="false">
      <c r="A23" s="1"/>
      <c r="B23" s="16" t="s">
        <v>41</v>
      </c>
      <c r="C23" s="17" t="b">
        <f aca="false">FALSE()</f>
        <v>0</v>
      </c>
      <c r="D23" s="17" t="b">
        <f aca="false">FALSE()</f>
        <v>0</v>
      </c>
      <c r="E23" s="17" t="b">
        <f aca="false">FALSE()</f>
        <v>0</v>
      </c>
      <c r="F23" s="17" t="b">
        <f aca="false">FALSE()</f>
        <v>0</v>
      </c>
      <c r="G23" s="17" t="b">
        <f aca="false">FALSE()</f>
        <v>0</v>
      </c>
      <c r="H23" s="17" t="b">
        <f aca="false">FALSE()</f>
        <v>0</v>
      </c>
      <c r="I23" s="17" t="b">
        <f aca="false">FALSE()</f>
        <v>0</v>
      </c>
      <c r="J23" s="17" t="b">
        <f aca="false">FALSE()</f>
        <v>0</v>
      </c>
      <c r="K23" s="17" t="b">
        <f aca="false">FALSE()</f>
        <v>0</v>
      </c>
      <c r="L23" s="17" t="b">
        <f aca="false">FALSE()</f>
        <v>0</v>
      </c>
      <c r="M23" s="17" t="b">
        <f aca="false">FALSE()</f>
        <v>0</v>
      </c>
      <c r="N23" s="17" t="b">
        <f aca="false">FALSE()</f>
        <v>0</v>
      </c>
      <c r="O23" s="17" t="b">
        <f aca="false">FALSE()</f>
        <v>0</v>
      </c>
      <c r="P23" s="17" t="b">
        <f aca="false">FALSE()</f>
        <v>0</v>
      </c>
      <c r="Q23" s="17" t="b">
        <f aca="false">FALSE()</f>
        <v>0</v>
      </c>
      <c r="R23" s="17" t="b">
        <f aca="false">FALSE()</f>
        <v>0</v>
      </c>
      <c r="S23" s="17" t="b">
        <f aca="false">FALSE()</f>
        <v>0</v>
      </c>
      <c r="T23" s="17" t="b">
        <f aca="false">FALSE()</f>
        <v>0</v>
      </c>
      <c r="U23" s="17" t="b">
        <f aca="false">FALSE()</f>
        <v>0</v>
      </c>
      <c r="V23" s="17" t="b">
        <f aca="false">FALSE()</f>
        <v>0</v>
      </c>
      <c r="W23" s="17" t="b">
        <f aca="false">FALSE()</f>
        <v>0</v>
      </c>
      <c r="X23" s="17" t="b">
        <f aca="false">FALSE()</f>
        <v>0</v>
      </c>
      <c r="Y23" s="17" t="b">
        <f aca="false">FALSE()</f>
        <v>0</v>
      </c>
      <c r="Z23" s="17" t="b">
        <f aca="false">FALSE()</f>
        <v>0</v>
      </c>
      <c r="AA23" s="17" t="b">
        <f aca="false">FALSE()</f>
        <v>0</v>
      </c>
      <c r="AB23" s="17" t="b">
        <f aca="false">FALSE()</f>
        <v>0</v>
      </c>
      <c r="AC23" s="17" t="b">
        <f aca="false">FALSE()</f>
        <v>0</v>
      </c>
      <c r="AD23" s="17" t="b">
        <f aca="false">FALSE()</f>
        <v>0</v>
      </c>
      <c r="AE23" s="17" t="b">
        <f aca="false">FALSE()</f>
        <v>0</v>
      </c>
      <c r="AF23" s="17" t="b">
        <f aca="false">FALSE()</f>
        <v>0</v>
      </c>
      <c r="AG23" s="17" t="b">
        <f aca="false">FALSE()</f>
        <v>0</v>
      </c>
      <c r="AH23" s="1"/>
      <c r="AI23" s="18" t="n">
        <f aca="false">IF($B23="","",$AP$3)</f>
        <v>30</v>
      </c>
      <c r="AJ23" s="18" t="n">
        <f aca="false">IF($B23="","",COUNTIF(C23:AG23,TRUE()))</f>
        <v>0</v>
      </c>
      <c r="AK23" s="18" t="n">
        <f aca="false">IF($B23="","",AI23-AJ23)</f>
        <v>30</v>
      </c>
      <c r="AL23" s="19" t="n">
        <f aca="false">IF($B23="","",AJ23/AI23)</f>
        <v>0</v>
      </c>
      <c r="AM23" s="20" t="n">
        <f aca="false">IF($B23="","",AJ23/AI23)</f>
        <v>0</v>
      </c>
      <c r="AN23" s="21" t="n">
        <f aca="false">IF($B23="",-1,AM23-ROW()/100000)</f>
        <v>-0.00023</v>
      </c>
      <c r="AO23" s="1"/>
    </row>
    <row r="24" customFormat="false" ht="18" hidden="false" customHeight="true" outlineLevel="0" collapsed="false">
      <c r="A24" s="1"/>
      <c r="B24" s="16" t="s">
        <v>42</v>
      </c>
      <c r="C24" s="17" t="b">
        <f aca="false">FALSE()</f>
        <v>0</v>
      </c>
      <c r="D24" s="17" t="b">
        <f aca="false">FALSE()</f>
        <v>0</v>
      </c>
      <c r="E24" s="17" t="b">
        <f aca="false">FALSE()</f>
        <v>0</v>
      </c>
      <c r="F24" s="17" t="b">
        <f aca="false">FALSE()</f>
        <v>0</v>
      </c>
      <c r="G24" s="17" t="b">
        <f aca="false">FALSE()</f>
        <v>0</v>
      </c>
      <c r="H24" s="17" t="b">
        <f aca="false">FALSE()</f>
        <v>0</v>
      </c>
      <c r="I24" s="17" t="b">
        <f aca="false">FALSE()</f>
        <v>0</v>
      </c>
      <c r="J24" s="17" t="b">
        <f aca="false">FALSE()</f>
        <v>0</v>
      </c>
      <c r="K24" s="17" t="b">
        <f aca="false">FALSE()</f>
        <v>0</v>
      </c>
      <c r="L24" s="17" t="b">
        <f aca="false">FALSE()</f>
        <v>0</v>
      </c>
      <c r="M24" s="17" t="b">
        <f aca="false">FALSE()</f>
        <v>0</v>
      </c>
      <c r="N24" s="17" t="b">
        <f aca="false">FALSE()</f>
        <v>0</v>
      </c>
      <c r="O24" s="17" t="b">
        <f aca="false">FALSE()</f>
        <v>0</v>
      </c>
      <c r="P24" s="17" t="b">
        <f aca="false">FALSE()</f>
        <v>0</v>
      </c>
      <c r="Q24" s="17" t="b">
        <f aca="false">FALSE()</f>
        <v>0</v>
      </c>
      <c r="R24" s="17" t="b">
        <f aca="false">FALSE()</f>
        <v>0</v>
      </c>
      <c r="S24" s="17" t="b">
        <f aca="false">FALSE()</f>
        <v>0</v>
      </c>
      <c r="T24" s="17" t="b">
        <f aca="false">FALSE()</f>
        <v>0</v>
      </c>
      <c r="U24" s="17" t="b">
        <f aca="false">FALSE()</f>
        <v>0</v>
      </c>
      <c r="V24" s="17" t="b">
        <f aca="false">FALSE()</f>
        <v>0</v>
      </c>
      <c r="W24" s="17" t="b">
        <f aca="false">FALSE()</f>
        <v>0</v>
      </c>
      <c r="X24" s="17" t="b">
        <f aca="false">FALSE()</f>
        <v>0</v>
      </c>
      <c r="Y24" s="17" t="b">
        <f aca="false">FALSE()</f>
        <v>0</v>
      </c>
      <c r="Z24" s="17" t="b">
        <f aca="false">FALSE()</f>
        <v>0</v>
      </c>
      <c r="AA24" s="17" t="b">
        <f aca="false">FALSE()</f>
        <v>0</v>
      </c>
      <c r="AB24" s="17" t="b">
        <f aca="false">FALSE()</f>
        <v>0</v>
      </c>
      <c r="AC24" s="17" t="b">
        <f aca="false">FALSE()</f>
        <v>0</v>
      </c>
      <c r="AD24" s="17" t="b">
        <f aca="false">FALSE()</f>
        <v>0</v>
      </c>
      <c r="AE24" s="17" t="b">
        <f aca="false">FALSE()</f>
        <v>0</v>
      </c>
      <c r="AF24" s="17" t="b">
        <f aca="false">FALSE()</f>
        <v>0</v>
      </c>
      <c r="AG24" s="17" t="b">
        <f aca="false">FALSE()</f>
        <v>0</v>
      </c>
      <c r="AH24" s="1"/>
      <c r="AI24" s="18" t="n">
        <f aca="false">IF($B24="","",$AP$3)</f>
        <v>30</v>
      </c>
      <c r="AJ24" s="18" t="n">
        <f aca="false">IF($B24="","",COUNTIF(C24:AG24,TRUE()))</f>
        <v>0</v>
      </c>
      <c r="AK24" s="18" t="n">
        <f aca="false">IF($B24="","",AI24-AJ24)</f>
        <v>30</v>
      </c>
      <c r="AL24" s="19" t="n">
        <f aca="false">IF($B24="","",AJ24/AI24)</f>
        <v>0</v>
      </c>
      <c r="AM24" s="20" t="n">
        <f aca="false">IF($B24="","",AJ24/AI24)</f>
        <v>0</v>
      </c>
      <c r="AN24" s="21" t="n">
        <f aca="false">IF($B24="",-1,AM24-ROW()/100000)</f>
        <v>-0.00024</v>
      </c>
      <c r="AO24" s="1"/>
    </row>
    <row r="25" customFormat="false" ht="18" hidden="false" customHeight="true" outlineLevel="0" collapsed="false">
      <c r="A25" s="1"/>
      <c r="B25" s="16" t="s">
        <v>43</v>
      </c>
      <c r="C25" s="17" t="b">
        <f aca="false">FALSE()</f>
        <v>0</v>
      </c>
      <c r="D25" s="17" t="b">
        <f aca="false">FALSE()</f>
        <v>0</v>
      </c>
      <c r="E25" s="17" t="b">
        <f aca="false">FALSE()</f>
        <v>0</v>
      </c>
      <c r="F25" s="17" t="b">
        <f aca="false">FALSE()</f>
        <v>0</v>
      </c>
      <c r="G25" s="17" t="b">
        <f aca="false">FALSE()</f>
        <v>0</v>
      </c>
      <c r="H25" s="17" t="b">
        <f aca="false">FALSE()</f>
        <v>0</v>
      </c>
      <c r="I25" s="17" t="b">
        <f aca="false">FALSE()</f>
        <v>0</v>
      </c>
      <c r="J25" s="17" t="b">
        <f aca="false">FALSE()</f>
        <v>0</v>
      </c>
      <c r="K25" s="17" t="b">
        <f aca="false">FALSE()</f>
        <v>0</v>
      </c>
      <c r="L25" s="17" t="b">
        <f aca="false">FALSE()</f>
        <v>0</v>
      </c>
      <c r="M25" s="17" t="b">
        <f aca="false">FALSE()</f>
        <v>0</v>
      </c>
      <c r="N25" s="17" t="b">
        <f aca="false">FALSE()</f>
        <v>0</v>
      </c>
      <c r="O25" s="17" t="b">
        <f aca="false">FALSE()</f>
        <v>0</v>
      </c>
      <c r="P25" s="17" t="b">
        <f aca="false">FALSE()</f>
        <v>0</v>
      </c>
      <c r="Q25" s="17" t="b">
        <f aca="false">FALSE()</f>
        <v>0</v>
      </c>
      <c r="R25" s="17" t="b">
        <f aca="false">FALSE()</f>
        <v>0</v>
      </c>
      <c r="S25" s="17" t="b">
        <f aca="false">FALSE()</f>
        <v>0</v>
      </c>
      <c r="T25" s="17" t="b">
        <f aca="false">FALSE()</f>
        <v>0</v>
      </c>
      <c r="U25" s="17" t="b">
        <f aca="false">FALSE()</f>
        <v>0</v>
      </c>
      <c r="V25" s="17" t="b">
        <f aca="false">FALSE()</f>
        <v>0</v>
      </c>
      <c r="W25" s="17" t="b">
        <f aca="false">FALSE()</f>
        <v>0</v>
      </c>
      <c r="X25" s="17" t="b">
        <f aca="false">FALSE()</f>
        <v>0</v>
      </c>
      <c r="Y25" s="17" t="b">
        <f aca="false">FALSE()</f>
        <v>0</v>
      </c>
      <c r="Z25" s="17" t="b">
        <f aca="false">FALSE()</f>
        <v>0</v>
      </c>
      <c r="AA25" s="17" t="b">
        <f aca="false">FALSE()</f>
        <v>0</v>
      </c>
      <c r="AB25" s="17" t="b">
        <f aca="false">FALSE()</f>
        <v>0</v>
      </c>
      <c r="AC25" s="17" t="b">
        <f aca="false">FALSE()</f>
        <v>0</v>
      </c>
      <c r="AD25" s="17" t="b">
        <f aca="false">FALSE()</f>
        <v>0</v>
      </c>
      <c r="AE25" s="17" t="b">
        <f aca="false">FALSE()</f>
        <v>0</v>
      </c>
      <c r="AF25" s="17" t="b">
        <f aca="false">FALSE()</f>
        <v>0</v>
      </c>
      <c r="AG25" s="17" t="b">
        <f aca="false">FALSE()</f>
        <v>0</v>
      </c>
      <c r="AH25" s="1"/>
      <c r="AI25" s="18" t="n">
        <f aca="false">IF($B25="","",$AP$3)</f>
        <v>30</v>
      </c>
      <c r="AJ25" s="18" t="n">
        <f aca="false">IF($B25="","",COUNTIF(C25:AG25,TRUE()))</f>
        <v>0</v>
      </c>
      <c r="AK25" s="18" t="n">
        <f aca="false">IF($B25="","",AI25-AJ25)</f>
        <v>30</v>
      </c>
      <c r="AL25" s="19" t="n">
        <f aca="false">IF($B25="","",AJ25/AI25)</f>
        <v>0</v>
      </c>
      <c r="AM25" s="20" t="n">
        <f aca="false">IF($B25="","",AJ25/AI25)</f>
        <v>0</v>
      </c>
      <c r="AN25" s="21" t="n">
        <f aca="false">IF($B25="",-1,AM25-ROW()/100000)</f>
        <v>-0.00025</v>
      </c>
      <c r="AO25" s="1"/>
    </row>
    <row r="26" customFormat="false" ht="18" hidden="false" customHeight="true" outlineLevel="0" collapsed="false">
      <c r="A26" s="1"/>
      <c r="B26" s="16" t="s">
        <v>44</v>
      </c>
      <c r="C26" s="17" t="b">
        <f aca="false">FALSE()</f>
        <v>0</v>
      </c>
      <c r="D26" s="17" t="b">
        <f aca="false">FALSE()</f>
        <v>0</v>
      </c>
      <c r="E26" s="17" t="b">
        <f aca="false">FALSE()</f>
        <v>0</v>
      </c>
      <c r="F26" s="17" t="b">
        <f aca="false">FALSE()</f>
        <v>0</v>
      </c>
      <c r="G26" s="17" t="b">
        <f aca="false">FALSE()</f>
        <v>0</v>
      </c>
      <c r="H26" s="17" t="b">
        <f aca="false">FALSE()</f>
        <v>0</v>
      </c>
      <c r="I26" s="17" t="b">
        <f aca="false">FALSE()</f>
        <v>0</v>
      </c>
      <c r="J26" s="17" t="b">
        <f aca="false">FALSE()</f>
        <v>0</v>
      </c>
      <c r="K26" s="17" t="b">
        <f aca="false">FALSE()</f>
        <v>0</v>
      </c>
      <c r="L26" s="17" t="b">
        <f aca="false">FALSE()</f>
        <v>0</v>
      </c>
      <c r="M26" s="17" t="b">
        <f aca="false">FALSE()</f>
        <v>0</v>
      </c>
      <c r="N26" s="17" t="b">
        <f aca="false">FALSE()</f>
        <v>0</v>
      </c>
      <c r="O26" s="17" t="b">
        <f aca="false">FALSE()</f>
        <v>0</v>
      </c>
      <c r="P26" s="17" t="b">
        <f aca="false">FALSE()</f>
        <v>0</v>
      </c>
      <c r="Q26" s="17" t="b">
        <f aca="false">FALSE()</f>
        <v>0</v>
      </c>
      <c r="R26" s="17" t="b">
        <f aca="false">FALSE()</f>
        <v>0</v>
      </c>
      <c r="S26" s="17" t="b">
        <f aca="false">FALSE()</f>
        <v>0</v>
      </c>
      <c r="T26" s="17" t="b">
        <f aca="false">FALSE()</f>
        <v>0</v>
      </c>
      <c r="U26" s="17" t="b">
        <f aca="false">FALSE()</f>
        <v>0</v>
      </c>
      <c r="V26" s="17" t="b">
        <f aca="false">FALSE()</f>
        <v>0</v>
      </c>
      <c r="W26" s="17" t="b">
        <f aca="false">FALSE()</f>
        <v>0</v>
      </c>
      <c r="X26" s="17" t="b">
        <f aca="false">FALSE()</f>
        <v>0</v>
      </c>
      <c r="Y26" s="17" t="b">
        <f aca="false">FALSE()</f>
        <v>0</v>
      </c>
      <c r="Z26" s="17" t="b">
        <f aca="false">FALSE()</f>
        <v>0</v>
      </c>
      <c r="AA26" s="17" t="b">
        <f aca="false">FALSE()</f>
        <v>0</v>
      </c>
      <c r="AB26" s="17" t="b">
        <f aca="false">FALSE()</f>
        <v>0</v>
      </c>
      <c r="AC26" s="17" t="b">
        <f aca="false">FALSE()</f>
        <v>0</v>
      </c>
      <c r="AD26" s="17" t="b">
        <f aca="false">FALSE()</f>
        <v>0</v>
      </c>
      <c r="AE26" s="17" t="b">
        <f aca="false">FALSE()</f>
        <v>0</v>
      </c>
      <c r="AF26" s="17" t="b">
        <f aca="false">FALSE()</f>
        <v>0</v>
      </c>
      <c r="AG26" s="17" t="b">
        <f aca="false">FALSE()</f>
        <v>0</v>
      </c>
      <c r="AH26" s="1"/>
      <c r="AI26" s="18" t="n">
        <f aca="false">IF($B26="","",$AP$3)</f>
        <v>30</v>
      </c>
      <c r="AJ26" s="18" t="n">
        <f aca="false">IF($B26="","",COUNTIF(C26:AG26,TRUE()))</f>
        <v>0</v>
      </c>
      <c r="AK26" s="18" t="n">
        <f aca="false">IF($B26="","",AI26-AJ26)</f>
        <v>30</v>
      </c>
      <c r="AL26" s="19" t="n">
        <f aca="false">IF($B26="","",AJ26/AI26)</f>
        <v>0</v>
      </c>
      <c r="AM26" s="20" t="n">
        <f aca="false">IF($B26="","",AJ26/AI26)</f>
        <v>0</v>
      </c>
      <c r="AN26" s="21" t="n">
        <f aca="false">IF($B26="",-1,AM26-ROW()/100000)</f>
        <v>-0.00026</v>
      </c>
      <c r="AO26" s="1"/>
    </row>
    <row r="27" customFormat="false" ht="18" hidden="false" customHeight="true" outlineLevel="0" collapsed="false">
      <c r="A27" s="1"/>
      <c r="B27" s="16"/>
      <c r="C27" s="17" t="b">
        <f aca="false">FALSE()</f>
        <v>0</v>
      </c>
      <c r="D27" s="17" t="b">
        <f aca="false">FALSE()</f>
        <v>0</v>
      </c>
      <c r="E27" s="17" t="b">
        <f aca="false">FALSE()</f>
        <v>0</v>
      </c>
      <c r="F27" s="17" t="b">
        <f aca="false">FALSE()</f>
        <v>0</v>
      </c>
      <c r="G27" s="17" t="b">
        <f aca="false">FALSE()</f>
        <v>0</v>
      </c>
      <c r="H27" s="17" t="b">
        <f aca="false">FALSE()</f>
        <v>0</v>
      </c>
      <c r="I27" s="17" t="b">
        <f aca="false">FALSE()</f>
        <v>0</v>
      </c>
      <c r="J27" s="17" t="b">
        <f aca="false">FALSE()</f>
        <v>0</v>
      </c>
      <c r="K27" s="17" t="b">
        <f aca="false">FALSE()</f>
        <v>0</v>
      </c>
      <c r="L27" s="17" t="b">
        <f aca="false">FALSE()</f>
        <v>0</v>
      </c>
      <c r="M27" s="17" t="b">
        <f aca="false">FALSE()</f>
        <v>0</v>
      </c>
      <c r="N27" s="17" t="b">
        <f aca="false">FALSE()</f>
        <v>0</v>
      </c>
      <c r="O27" s="17" t="b">
        <f aca="false">FALSE()</f>
        <v>0</v>
      </c>
      <c r="P27" s="17" t="b">
        <f aca="false">FALSE()</f>
        <v>0</v>
      </c>
      <c r="Q27" s="17" t="b">
        <f aca="false">FALSE()</f>
        <v>0</v>
      </c>
      <c r="R27" s="17" t="b">
        <f aca="false">FALSE()</f>
        <v>0</v>
      </c>
      <c r="S27" s="17" t="b">
        <f aca="false">FALSE()</f>
        <v>0</v>
      </c>
      <c r="T27" s="17" t="b">
        <f aca="false">FALSE()</f>
        <v>0</v>
      </c>
      <c r="U27" s="17" t="b">
        <f aca="false">FALSE()</f>
        <v>0</v>
      </c>
      <c r="V27" s="17" t="b">
        <f aca="false">FALSE()</f>
        <v>0</v>
      </c>
      <c r="W27" s="17" t="b">
        <f aca="false">FALSE()</f>
        <v>0</v>
      </c>
      <c r="X27" s="17" t="b">
        <f aca="false">FALSE()</f>
        <v>0</v>
      </c>
      <c r="Y27" s="17" t="b">
        <f aca="false">FALSE()</f>
        <v>0</v>
      </c>
      <c r="Z27" s="17" t="b">
        <f aca="false">FALSE()</f>
        <v>0</v>
      </c>
      <c r="AA27" s="17" t="b">
        <f aca="false">FALSE()</f>
        <v>0</v>
      </c>
      <c r="AB27" s="17" t="b">
        <f aca="false">FALSE()</f>
        <v>0</v>
      </c>
      <c r="AC27" s="17" t="b">
        <f aca="false">FALSE()</f>
        <v>0</v>
      </c>
      <c r="AD27" s="17" t="b">
        <f aca="false">FALSE()</f>
        <v>0</v>
      </c>
      <c r="AE27" s="17" t="b">
        <f aca="false">FALSE()</f>
        <v>0</v>
      </c>
      <c r="AF27" s="17" t="b">
        <f aca="false">FALSE()</f>
        <v>0</v>
      </c>
      <c r="AG27" s="17" t="b">
        <f aca="false">FALSE()</f>
        <v>0</v>
      </c>
      <c r="AH27" s="1"/>
      <c r="AI27" s="18" t="str">
        <f aca="false">IF($B27="","",$AP$3)</f>
        <v/>
      </c>
      <c r="AJ27" s="18" t="str">
        <f aca="false">IF($B27="","",COUNTIF(C27:AG27,TRUE()))</f>
        <v/>
      </c>
      <c r="AK27" s="18" t="str">
        <f aca="false">IF($B27="","",AI27-AJ27)</f>
        <v/>
      </c>
      <c r="AL27" s="19" t="str">
        <f aca="false">IF($B27="","",AJ27/AI27)</f>
        <v/>
      </c>
      <c r="AM27" s="20" t="str">
        <f aca="false">IF($B27="","",AJ27/AI27)</f>
        <v/>
      </c>
      <c r="AN27" s="1" t="n">
        <f aca="false">IF($B27="",-1,AM27-ROW()/100000)</f>
        <v>-1</v>
      </c>
      <c r="AO27" s="1"/>
    </row>
    <row r="28" customFormat="false" ht="18" hidden="false" customHeight="true" outlineLevel="0" collapsed="false">
      <c r="A28" s="1"/>
      <c r="B28" s="16"/>
      <c r="C28" s="17" t="b">
        <f aca="false">FALSE()</f>
        <v>0</v>
      </c>
      <c r="D28" s="17" t="b">
        <f aca="false">FALSE()</f>
        <v>0</v>
      </c>
      <c r="E28" s="17" t="b">
        <f aca="false">FALSE()</f>
        <v>0</v>
      </c>
      <c r="F28" s="17" t="b">
        <f aca="false">FALSE()</f>
        <v>0</v>
      </c>
      <c r="G28" s="17" t="b">
        <f aca="false">FALSE()</f>
        <v>0</v>
      </c>
      <c r="H28" s="17" t="b">
        <f aca="false">FALSE()</f>
        <v>0</v>
      </c>
      <c r="I28" s="17" t="b">
        <f aca="false">FALSE()</f>
        <v>0</v>
      </c>
      <c r="J28" s="17" t="b">
        <f aca="false">FALSE()</f>
        <v>0</v>
      </c>
      <c r="K28" s="17" t="b">
        <f aca="false">FALSE()</f>
        <v>0</v>
      </c>
      <c r="L28" s="17" t="b">
        <f aca="false">FALSE()</f>
        <v>0</v>
      </c>
      <c r="M28" s="17" t="b">
        <f aca="false">FALSE()</f>
        <v>0</v>
      </c>
      <c r="N28" s="17" t="b">
        <f aca="false">FALSE()</f>
        <v>0</v>
      </c>
      <c r="O28" s="17" t="b">
        <f aca="false">FALSE()</f>
        <v>0</v>
      </c>
      <c r="P28" s="17" t="b">
        <f aca="false">FALSE()</f>
        <v>0</v>
      </c>
      <c r="Q28" s="17" t="b">
        <f aca="false">FALSE()</f>
        <v>0</v>
      </c>
      <c r="R28" s="17" t="b">
        <f aca="false">FALSE()</f>
        <v>0</v>
      </c>
      <c r="S28" s="17" t="b">
        <f aca="false">FALSE()</f>
        <v>0</v>
      </c>
      <c r="T28" s="17" t="b">
        <f aca="false">FALSE()</f>
        <v>0</v>
      </c>
      <c r="U28" s="17" t="b">
        <f aca="false">FALSE()</f>
        <v>0</v>
      </c>
      <c r="V28" s="17" t="b">
        <f aca="false">FALSE()</f>
        <v>0</v>
      </c>
      <c r="W28" s="17" t="b">
        <f aca="false">FALSE()</f>
        <v>0</v>
      </c>
      <c r="X28" s="17" t="b">
        <f aca="false">FALSE()</f>
        <v>0</v>
      </c>
      <c r="Y28" s="17" t="b">
        <f aca="false">FALSE()</f>
        <v>0</v>
      </c>
      <c r="Z28" s="17" t="b">
        <f aca="false">FALSE()</f>
        <v>0</v>
      </c>
      <c r="AA28" s="17" t="b">
        <f aca="false">FALSE()</f>
        <v>0</v>
      </c>
      <c r="AB28" s="17" t="b">
        <f aca="false">FALSE()</f>
        <v>0</v>
      </c>
      <c r="AC28" s="17" t="b">
        <f aca="false">FALSE()</f>
        <v>0</v>
      </c>
      <c r="AD28" s="17" t="b">
        <f aca="false">FALSE()</f>
        <v>0</v>
      </c>
      <c r="AE28" s="17" t="b">
        <f aca="false">FALSE()</f>
        <v>0</v>
      </c>
      <c r="AF28" s="17" t="b">
        <f aca="false">FALSE()</f>
        <v>0</v>
      </c>
      <c r="AG28" s="17" t="b">
        <f aca="false">FALSE()</f>
        <v>0</v>
      </c>
      <c r="AH28" s="1"/>
      <c r="AI28" s="18" t="str">
        <f aca="false">IF($B28="","",$AP$3)</f>
        <v/>
      </c>
      <c r="AJ28" s="18" t="str">
        <f aca="false">IF($B28="","",COUNTIF(C28:AG28,TRUE()))</f>
        <v/>
      </c>
      <c r="AK28" s="18" t="str">
        <f aca="false">IF($B28="","",AI28-AJ28)</f>
        <v/>
      </c>
      <c r="AL28" s="19" t="str">
        <f aca="false">IF($B28="","",AJ28/AI28)</f>
        <v/>
      </c>
      <c r="AM28" s="20" t="str">
        <f aca="false">IF($B28="","",AJ28/AI28)</f>
        <v/>
      </c>
      <c r="AN28" s="1" t="n">
        <f aca="false">IF($B28="",-1,AM28-ROW()/100000)</f>
        <v>-1</v>
      </c>
      <c r="AO28" s="1"/>
    </row>
    <row r="29" customFormat="false" ht="15" hidden="false" customHeight="false" outlineLevel="0" collapsed="false">
      <c r="A29" s="1"/>
      <c r="B29" s="22" t="s">
        <v>45</v>
      </c>
      <c r="C29" s="23" t="n">
        <f aca="false">IF(OR(C$16="",SUMPRODUCT(--(LEN($B$17:$B$28)&gt;0))=0),"",SUMPRODUCT(($B$17:$B$28&lt;&gt;"")*(C$17:C$28=TRUE()))/SUMPRODUCT(--(LEN($B$17:$B$28)&gt;0)))</f>
        <v>0</v>
      </c>
      <c r="D29" s="23" t="n">
        <f aca="false">IF(OR(D$16="",SUMPRODUCT(--(LEN($B$17:$B$28)&gt;0))=0),"",SUMPRODUCT(($B$17:$B$28&lt;&gt;"")*(D$17:D$28=TRUE()))/SUMPRODUCT(--(LEN($B$17:$B$28)&gt;0)))</f>
        <v>0</v>
      </c>
      <c r="E29" s="23" t="n">
        <f aca="false">IF(OR(E$16="",SUMPRODUCT(--(LEN($B$17:$B$28)&gt;0))=0),"",SUMPRODUCT(($B$17:$B$28&lt;&gt;"")*(E$17:E$28=TRUE()))/SUMPRODUCT(--(LEN($B$17:$B$28)&gt;0)))</f>
        <v>0</v>
      </c>
      <c r="F29" s="23" t="n">
        <f aca="false">IF(OR(F$16="",SUMPRODUCT(--(LEN($B$17:$B$28)&gt;0))=0),"",SUMPRODUCT(($B$17:$B$28&lt;&gt;"")*(F$17:F$28=TRUE()))/SUMPRODUCT(--(LEN($B$17:$B$28)&gt;0)))</f>
        <v>0</v>
      </c>
      <c r="G29" s="23" t="n">
        <f aca="false">IF(OR(G$16="",SUMPRODUCT(--(LEN($B$17:$B$28)&gt;0))=0),"",SUMPRODUCT(($B$17:$B$28&lt;&gt;"")*(G$17:G$28=TRUE()))/SUMPRODUCT(--(LEN($B$17:$B$28)&gt;0)))</f>
        <v>0</v>
      </c>
      <c r="H29" s="23" t="n">
        <f aca="false">IF(OR(H$16="",SUMPRODUCT(--(LEN($B$17:$B$28)&gt;0))=0),"",SUMPRODUCT(($B$17:$B$28&lt;&gt;"")*(H$17:H$28=TRUE()))/SUMPRODUCT(--(LEN($B$17:$B$28)&gt;0)))</f>
        <v>0</v>
      </c>
      <c r="I29" s="23" t="n">
        <f aca="false">IF(OR(I$16="",SUMPRODUCT(--(LEN($B$17:$B$28)&gt;0))=0),"",SUMPRODUCT(($B$17:$B$28&lt;&gt;"")*(I$17:I$28=TRUE()))/SUMPRODUCT(--(LEN($B$17:$B$28)&gt;0)))</f>
        <v>0</v>
      </c>
      <c r="J29" s="23" t="n">
        <f aca="false">IF(OR(J$16="",SUMPRODUCT(--(LEN($B$17:$B$28)&gt;0))=0),"",SUMPRODUCT(($B$17:$B$28&lt;&gt;"")*(J$17:J$28=TRUE()))/SUMPRODUCT(--(LEN($B$17:$B$28)&gt;0)))</f>
        <v>0</v>
      </c>
      <c r="K29" s="23" t="n">
        <f aca="false">IF(OR(K$16="",SUMPRODUCT(--(LEN($B$17:$B$28)&gt;0))=0),"",SUMPRODUCT(($B$17:$B$28&lt;&gt;"")*(K$17:K$28=TRUE()))/SUMPRODUCT(--(LEN($B$17:$B$28)&gt;0)))</f>
        <v>0</v>
      </c>
      <c r="L29" s="23" t="n">
        <f aca="false">IF(OR(L$16="",SUMPRODUCT(--(LEN($B$17:$B$28)&gt;0))=0),"",SUMPRODUCT(($B$17:$B$28&lt;&gt;"")*(L$17:L$28=TRUE()))/SUMPRODUCT(--(LEN($B$17:$B$28)&gt;0)))</f>
        <v>0</v>
      </c>
      <c r="M29" s="23" t="n">
        <f aca="false">IF(OR(M$16="",SUMPRODUCT(--(LEN($B$17:$B$28)&gt;0))=0),"",SUMPRODUCT(($B$17:$B$28&lt;&gt;"")*(M$17:M$28=TRUE()))/SUMPRODUCT(--(LEN($B$17:$B$28)&gt;0)))</f>
        <v>0</v>
      </c>
      <c r="N29" s="23" t="n">
        <f aca="false">IF(OR(N$16="",SUMPRODUCT(--(LEN($B$17:$B$28)&gt;0))=0),"",SUMPRODUCT(($B$17:$B$28&lt;&gt;"")*(N$17:N$28=TRUE()))/SUMPRODUCT(--(LEN($B$17:$B$28)&gt;0)))</f>
        <v>0</v>
      </c>
      <c r="O29" s="23" t="n">
        <f aca="false">IF(OR(O$16="",SUMPRODUCT(--(LEN($B$17:$B$28)&gt;0))=0),"",SUMPRODUCT(($B$17:$B$28&lt;&gt;"")*(O$17:O$28=TRUE()))/SUMPRODUCT(--(LEN($B$17:$B$28)&gt;0)))</f>
        <v>0</v>
      </c>
      <c r="P29" s="23" t="n">
        <f aca="false">IF(OR(P$16="",SUMPRODUCT(--(LEN($B$17:$B$28)&gt;0))=0),"",SUMPRODUCT(($B$17:$B$28&lt;&gt;"")*(P$17:P$28=TRUE()))/SUMPRODUCT(--(LEN($B$17:$B$28)&gt;0)))</f>
        <v>0</v>
      </c>
      <c r="Q29" s="23" t="n">
        <f aca="false">IF(OR(Q$16="",SUMPRODUCT(--(LEN($B$17:$B$28)&gt;0))=0),"",SUMPRODUCT(($B$17:$B$28&lt;&gt;"")*(Q$17:Q$28=TRUE()))/SUMPRODUCT(--(LEN($B$17:$B$28)&gt;0)))</f>
        <v>0</v>
      </c>
      <c r="R29" s="23" t="n">
        <f aca="false">IF(OR(R$16="",SUMPRODUCT(--(LEN($B$17:$B$28)&gt;0))=0),"",SUMPRODUCT(($B$17:$B$28&lt;&gt;"")*(R$17:R$28=TRUE()))/SUMPRODUCT(--(LEN($B$17:$B$28)&gt;0)))</f>
        <v>0</v>
      </c>
      <c r="S29" s="23" t="n">
        <f aca="false">IF(OR(S$16="",SUMPRODUCT(--(LEN($B$17:$B$28)&gt;0))=0),"",SUMPRODUCT(($B$17:$B$28&lt;&gt;"")*(S$17:S$28=TRUE()))/SUMPRODUCT(--(LEN($B$17:$B$28)&gt;0)))</f>
        <v>0</v>
      </c>
      <c r="T29" s="23" t="n">
        <f aca="false">IF(OR(T$16="",SUMPRODUCT(--(LEN($B$17:$B$28)&gt;0))=0),"",SUMPRODUCT(($B$17:$B$28&lt;&gt;"")*(T$17:T$28=TRUE()))/SUMPRODUCT(--(LEN($B$17:$B$28)&gt;0)))</f>
        <v>0</v>
      </c>
      <c r="U29" s="23" t="n">
        <f aca="false">IF(OR(U$16="",SUMPRODUCT(--(LEN($B$17:$B$28)&gt;0))=0),"",SUMPRODUCT(($B$17:$B$28&lt;&gt;"")*(U$17:U$28=TRUE()))/SUMPRODUCT(--(LEN($B$17:$B$28)&gt;0)))</f>
        <v>0</v>
      </c>
      <c r="V29" s="23" t="n">
        <f aca="false">IF(OR(V$16="",SUMPRODUCT(--(LEN($B$17:$B$28)&gt;0))=0),"",SUMPRODUCT(($B$17:$B$28&lt;&gt;"")*(V$17:V$28=TRUE()))/SUMPRODUCT(--(LEN($B$17:$B$28)&gt;0)))</f>
        <v>0</v>
      </c>
      <c r="W29" s="23" t="n">
        <f aca="false">IF(OR(W$16="",SUMPRODUCT(--(LEN($B$17:$B$28)&gt;0))=0),"",SUMPRODUCT(($B$17:$B$28&lt;&gt;"")*(W$17:W$28=TRUE()))/SUMPRODUCT(--(LEN($B$17:$B$28)&gt;0)))</f>
        <v>0</v>
      </c>
      <c r="X29" s="23" t="n">
        <f aca="false">IF(OR(X$16="",SUMPRODUCT(--(LEN($B$17:$B$28)&gt;0))=0),"",SUMPRODUCT(($B$17:$B$28&lt;&gt;"")*(X$17:X$28=TRUE()))/SUMPRODUCT(--(LEN($B$17:$B$28)&gt;0)))</f>
        <v>0</v>
      </c>
      <c r="Y29" s="23" t="n">
        <f aca="false">IF(OR(Y$16="",SUMPRODUCT(--(LEN($B$17:$B$28)&gt;0))=0),"",SUMPRODUCT(($B$17:$B$28&lt;&gt;"")*(Y$17:Y$28=TRUE()))/SUMPRODUCT(--(LEN($B$17:$B$28)&gt;0)))</f>
        <v>0</v>
      </c>
      <c r="Z29" s="23" t="n">
        <f aca="false">IF(OR(Z$16="",SUMPRODUCT(--(LEN($B$17:$B$28)&gt;0))=0),"",SUMPRODUCT(($B$17:$B$28&lt;&gt;"")*(Z$17:Z$28=TRUE()))/SUMPRODUCT(--(LEN($B$17:$B$28)&gt;0)))</f>
        <v>0</v>
      </c>
      <c r="AA29" s="23" t="n">
        <f aca="false">IF(OR(AA$16="",SUMPRODUCT(--(LEN($B$17:$B$28)&gt;0))=0),"",SUMPRODUCT(($B$17:$B$28&lt;&gt;"")*(AA$17:AA$28=TRUE()))/SUMPRODUCT(--(LEN($B$17:$B$28)&gt;0)))</f>
        <v>0</v>
      </c>
      <c r="AB29" s="23" t="n">
        <f aca="false">IF(OR(AB$16="",SUMPRODUCT(--(LEN($B$17:$B$28)&gt;0))=0),"",SUMPRODUCT(($B$17:$B$28&lt;&gt;"")*(AB$17:AB$28=TRUE()))/SUMPRODUCT(--(LEN($B$17:$B$28)&gt;0)))</f>
        <v>0</v>
      </c>
      <c r="AC29" s="23" t="n">
        <f aca="false">IF(OR(AC$16="",SUMPRODUCT(--(LEN($B$17:$B$28)&gt;0))=0),"",SUMPRODUCT(($B$17:$B$28&lt;&gt;"")*(AC$17:AC$28=TRUE()))/SUMPRODUCT(--(LEN($B$17:$B$28)&gt;0)))</f>
        <v>0</v>
      </c>
      <c r="AD29" s="23" t="n">
        <f aca="false">IF(OR(AD$16="",SUMPRODUCT(--(LEN($B$17:$B$28)&gt;0))=0),"",SUMPRODUCT(($B$17:$B$28&lt;&gt;"")*(AD$17:AD$28=TRUE()))/SUMPRODUCT(--(LEN($B$17:$B$28)&gt;0)))</f>
        <v>0</v>
      </c>
      <c r="AE29" s="23" t="n">
        <f aca="false">IF(OR(AE$16="",SUMPRODUCT(--(LEN($B$17:$B$28)&gt;0))=0),"",SUMPRODUCT(($B$17:$B$28&lt;&gt;"")*(AE$17:AE$28=TRUE()))/SUMPRODUCT(--(LEN($B$17:$B$28)&gt;0)))</f>
        <v>0</v>
      </c>
      <c r="AF29" s="23" t="n">
        <f aca="false">IF(OR(AF$16="",SUMPRODUCT(--(LEN($B$17:$B$28)&gt;0))=0),"",SUMPRODUCT(($B$17:$B$28&lt;&gt;"")*(AF$17:AF$28=TRUE()))/SUMPRODUCT(--(LEN($B$17:$B$28)&gt;0)))</f>
        <v>0</v>
      </c>
      <c r="AG29" s="23" t="str">
        <f aca="false">IF(OR(AG$16="",SUMPRODUCT(--(LEN($B$17:$B$28)&gt;0))=0),"",SUMPRODUCT(($B$17:$B$28&lt;&gt;"")*(AG$17:AG$28=TRUE()))/SUMPRODUCT(--(LEN($B$17:$B$28)&gt;0)))</f>
        <v/>
      </c>
      <c r="AH29" s="1"/>
      <c r="AI29" s="1"/>
      <c r="AJ29" s="1"/>
      <c r="AK29" s="1"/>
      <c r="AL29" s="1"/>
      <c r="AM29" s="1"/>
      <c r="AN29" s="1"/>
      <c r="AO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</row>
    <row r="31" customFormat="false" ht="15" hidden="false" customHeight="false" outlineLevel="0" collapsed="false">
      <c r="A31" s="1"/>
      <c r="B31" s="24"/>
      <c r="C31" s="12" t="s">
        <v>46</v>
      </c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"/>
      <c r="AI31" s="25" t="s">
        <v>47</v>
      </c>
      <c r="AJ31" s="25"/>
      <c r="AK31" s="25"/>
      <c r="AL31" s="25"/>
      <c r="AM31" s="25"/>
      <c r="AN31" s="1"/>
      <c r="AO31" s="1"/>
    </row>
    <row r="32" customFormat="false" ht="15.75" hidden="false" customHeight="true" outlineLevel="0" collapsed="false">
      <c r="A32" s="1"/>
      <c r="B32" s="7" t="s">
        <v>48</v>
      </c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1"/>
      <c r="AI32" s="27" t="n">
        <v>1</v>
      </c>
      <c r="AJ32" s="28" t="str">
        <f aca="false">IF(LARGE($AN$17:$AN$28,1)&lt;0,"",INDEX($B$17:$B$28,MATCH(LARGE($AN$17:$AN$28,1),$AN$17:$AN$28,0)))</f>
        <v/>
      </c>
      <c r="AK32" s="28"/>
      <c r="AL32" s="28"/>
      <c r="AM32" s="29" t="str">
        <f aca="false">IF(AJ32="","",INDEX($AM$17:$AM$28,MATCH(LARGE($AN$17:$AN$28,1),$AN$17:$AN$28,0)))</f>
        <v/>
      </c>
      <c r="AN32" s="1"/>
      <c r="AO32" s="1"/>
    </row>
    <row r="33" customFormat="false" ht="15.75" hidden="false" customHeight="true" outlineLevel="0" collapsed="false">
      <c r="A33" s="1"/>
      <c r="B33" s="7" t="s">
        <v>49</v>
      </c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1"/>
      <c r="AI33" s="27" t="n">
        <v>2</v>
      </c>
      <c r="AJ33" s="28" t="str">
        <f aca="false">IF(LARGE($AN$17:$AN$28,2)&lt;0,"",INDEX($B$17:$B$28,MATCH(LARGE($AN$17:$AN$28,2),$AN$17:$AN$28,0)))</f>
        <v/>
      </c>
      <c r="AK33" s="28"/>
      <c r="AL33" s="28"/>
      <c r="AM33" s="29" t="str">
        <f aca="false">IF(AJ33="","",INDEX($AM$17:$AM$28,MATCH(LARGE($AN$17:$AN$28,2),$AN$17:$AN$28,0)))</f>
        <v/>
      </c>
      <c r="AN33" s="1"/>
      <c r="AO33" s="1"/>
    </row>
    <row r="34" customFormat="false" ht="15.75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27" t="n">
        <v>3</v>
      </c>
      <c r="AJ34" s="28" t="str">
        <f aca="false">IF(LARGE($AN$17:$AN$28,3)&lt;0,"",INDEX($B$17:$B$28,MATCH(LARGE($AN$17:$AN$28,3),$AN$17:$AN$28,0)))</f>
        <v/>
      </c>
      <c r="AK34" s="28"/>
      <c r="AL34" s="28"/>
      <c r="AM34" s="29" t="str">
        <f aca="false">IF(AJ34="","",INDEX($AM$17:$AM$28,MATCH(LARGE($AN$17:$AN$28,3),$AN$17:$AN$28,0)))</f>
        <v/>
      </c>
      <c r="AN34" s="1"/>
      <c r="AO34" s="1"/>
    </row>
    <row r="35" customFormat="false" ht="15.75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27" t="n">
        <v>4</v>
      </c>
      <c r="AJ35" s="28" t="str">
        <f aca="false">IF(LARGE($AN$17:$AN$28,4)&lt;0,"",INDEX($B$17:$B$28,MATCH(LARGE($AN$17:$AN$28,4),$AN$17:$AN$28,0)))</f>
        <v/>
      </c>
      <c r="AK35" s="28"/>
      <c r="AL35" s="28"/>
      <c r="AM35" s="29" t="str">
        <f aca="false">IF(AJ35="","",INDEX($AM$17:$AM$28,MATCH(LARGE($AN$17:$AN$28,4),$AN$17:$AN$28,0)))</f>
        <v/>
      </c>
      <c r="AN35" s="1"/>
      <c r="AO35" s="1"/>
    </row>
    <row r="36" customFormat="false" ht="15.75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27" t="n">
        <v>5</v>
      </c>
      <c r="AJ36" s="28" t="str">
        <f aca="false">IF(LARGE($AN$17:$AN$28,5)&lt;0,"",INDEX($B$17:$B$28,MATCH(LARGE($AN$17:$AN$28,5),$AN$17:$AN$28,0)))</f>
        <v/>
      </c>
      <c r="AK36" s="28"/>
      <c r="AL36" s="28"/>
      <c r="AM36" s="29" t="str">
        <f aca="false">IF(AJ36="","",INDEX($AM$17:$AM$28,MATCH(LARGE($AN$17:$AN$28,5),$AN$17:$AN$28,0)))</f>
        <v/>
      </c>
      <c r="AN36" s="1"/>
      <c r="AO36" s="1"/>
    </row>
    <row r="37" customFormat="false" ht="15.75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27" t="n">
        <v>6</v>
      </c>
      <c r="AJ37" s="28" t="str">
        <f aca="false">IF(LARGE($AN$17:$AN$28,6)&lt;0,"",INDEX($B$17:$B$28,MATCH(LARGE($AN$17:$AN$28,6),$AN$17:$AN$28,0)))</f>
        <v/>
      </c>
      <c r="AK37" s="28"/>
      <c r="AL37" s="28"/>
      <c r="AM37" s="29" t="str">
        <f aca="false">IF(AJ37="","",INDEX($AM$17:$AM$28,MATCH(LARGE($AN$17:$AN$28,6),$AN$17:$AN$28,0)))</f>
        <v/>
      </c>
      <c r="AN37" s="1"/>
      <c r="AO37" s="1"/>
    </row>
    <row r="38" customFormat="false" ht="15.75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27" t="n">
        <v>7</v>
      </c>
      <c r="AJ38" s="28" t="str">
        <f aca="false">IF(LARGE($AN$17:$AN$28,7)&lt;0,"",INDEX($B$17:$B$28,MATCH(LARGE($AN$17:$AN$28,7),$AN$17:$AN$28,0)))</f>
        <v/>
      </c>
      <c r="AK38" s="28"/>
      <c r="AL38" s="28"/>
      <c r="AM38" s="29" t="str">
        <f aca="false">IF(AJ38="","",INDEX($AM$17:$AM$28,MATCH(LARGE($AN$17:$AN$28,7),$AN$17:$AN$28,0)))</f>
        <v/>
      </c>
      <c r="AN38" s="1"/>
      <c r="AO38" s="1"/>
    </row>
    <row r="39" customFormat="false" ht="15.75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27" t="n">
        <v>8</v>
      </c>
      <c r="AJ39" s="28" t="str">
        <f aca="false">IF(LARGE($AN$17:$AN$28,8)&lt;0,"",INDEX($B$17:$B$28,MATCH(LARGE($AN$17:$AN$28,8),$AN$17:$AN$28,0)))</f>
        <v/>
      </c>
      <c r="AK39" s="28"/>
      <c r="AL39" s="28"/>
      <c r="AM39" s="29" t="str">
        <f aca="false">IF(AJ39="","",INDEX($AM$17:$AM$28,MATCH(LARGE($AN$17:$AN$28,8),$AN$17:$AN$28,0)))</f>
        <v/>
      </c>
      <c r="AN39" s="1"/>
      <c r="AO39" s="1"/>
    </row>
    <row r="40" customFormat="false" ht="15.75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27" t="n">
        <v>9</v>
      </c>
      <c r="AJ40" s="28" t="str">
        <f aca="false">IF(LARGE($AN$17:$AN$28,9)&lt;0,"",INDEX($B$17:$B$28,MATCH(LARGE($AN$17:$AN$28,9),$AN$17:$AN$28,0)))</f>
        <v/>
      </c>
      <c r="AK40" s="28"/>
      <c r="AL40" s="28"/>
      <c r="AM40" s="29" t="str">
        <f aca="false">IF(AJ40="","",INDEX($AM$17:$AM$28,MATCH(LARGE($AN$17:$AN$28,9),$AN$17:$AN$28,0)))</f>
        <v/>
      </c>
      <c r="AN40" s="1"/>
      <c r="AO40" s="1"/>
    </row>
    <row r="41" customFormat="false" ht="15.75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27" t="n">
        <v>10</v>
      </c>
      <c r="AJ41" s="28" t="str">
        <f aca="false">IF(LARGE($AN$17:$AN$28,10)&lt;0,"",INDEX($B$17:$B$28,MATCH(LARGE($AN$17:$AN$28,10),$AN$17:$AN$28,0)))</f>
        <v/>
      </c>
      <c r="AK41" s="28"/>
      <c r="AL41" s="28"/>
      <c r="AM41" s="29" t="str">
        <f aca="false">IF(AJ41="","",INDEX($AM$17:$AM$28,MATCH(LARGE($AN$17:$AN$28,10),$AN$17:$AN$28,0)))</f>
        <v/>
      </c>
      <c r="AN41" s="1"/>
      <c r="AO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</row>
    <row r="48" customFormat="false" ht="15" hidden="true" customHeight="false" outlineLevel="0" collapsed="false">
      <c r="A48" s="1"/>
      <c r="B48" s="1"/>
      <c r="C48" s="1" t="str">
        <f aca="false">IF(C$16="","",C$15)</f>
        <v>We</v>
      </c>
      <c r="D48" s="1" t="str">
        <f aca="false">IF(D$16="","",D$15)</f>
        <v>Th</v>
      </c>
      <c r="E48" s="1" t="str">
        <f aca="false">IF(E$16="","",E$15)</f>
        <v>Fr</v>
      </c>
      <c r="F48" s="1" t="str">
        <f aca="false">IF(F$16="","",F$15)</f>
        <v>Sa</v>
      </c>
      <c r="G48" s="1" t="str">
        <f aca="false">IF(G$16="","",G$15)</f>
        <v>Su</v>
      </c>
      <c r="H48" s="1" t="str">
        <f aca="false">IF(H$16="","",H$15)</f>
        <v>Mo</v>
      </c>
      <c r="I48" s="1" t="str">
        <f aca="false">IF(I$16="","",I$15)</f>
        <v>Tu</v>
      </c>
      <c r="J48" s="1" t="str">
        <f aca="false">IF(J$16="","",J$15)</f>
        <v>We</v>
      </c>
      <c r="K48" s="1" t="str">
        <f aca="false">IF(K$16="","",K$15)</f>
        <v>Th</v>
      </c>
      <c r="L48" s="1" t="str">
        <f aca="false">IF(L$16="","",L$15)</f>
        <v>Fr</v>
      </c>
      <c r="M48" s="1" t="str">
        <f aca="false">IF(M$16="","",M$15)</f>
        <v>Sa</v>
      </c>
      <c r="N48" s="1" t="str">
        <f aca="false">IF(N$16="","",N$15)</f>
        <v>Su</v>
      </c>
      <c r="O48" s="1" t="str">
        <f aca="false">IF(O$16="","",O$15)</f>
        <v>Mo</v>
      </c>
      <c r="P48" s="1" t="str">
        <f aca="false">IF(P$16="","",P$15)</f>
        <v>Tu</v>
      </c>
      <c r="Q48" s="1" t="str">
        <f aca="false">IF(Q$16="","",Q$15)</f>
        <v>We</v>
      </c>
      <c r="R48" s="1" t="str">
        <f aca="false">IF(R$16="","",R$15)</f>
        <v>Th</v>
      </c>
      <c r="S48" s="1" t="str">
        <f aca="false">IF(S$16="","",S$15)</f>
        <v>Fr</v>
      </c>
      <c r="T48" s="1" t="str">
        <f aca="false">IF(T$16="","",T$15)</f>
        <v>Sa</v>
      </c>
      <c r="U48" s="1" t="str">
        <f aca="false">IF(U$16="","",U$15)</f>
        <v>Su</v>
      </c>
      <c r="V48" s="1" t="str">
        <f aca="false">IF(V$16="","",V$15)</f>
        <v>Mo</v>
      </c>
      <c r="W48" s="1" t="str">
        <f aca="false">IF(W$16="","",W$15)</f>
        <v>Tu</v>
      </c>
      <c r="X48" s="1" t="str">
        <f aca="false">IF(X$16="","",X$15)</f>
        <v>We</v>
      </c>
      <c r="Y48" s="1" t="str">
        <f aca="false">IF(Y$16="","",Y$15)</f>
        <v>Th</v>
      </c>
      <c r="Z48" s="1" t="str">
        <f aca="false">IF(Z$16="","",Z$15)</f>
        <v>Fr</v>
      </c>
      <c r="AA48" s="1" t="str">
        <f aca="false">IF(AA$16="","",AA$15)</f>
        <v>Sa</v>
      </c>
      <c r="AB48" s="1" t="str">
        <f aca="false">IF(AB$16="","",AB$15)</f>
        <v>Su</v>
      </c>
      <c r="AC48" s="1" t="str">
        <f aca="false">IF(AC$16="","",AC$15)</f>
        <v>Mo</v>
      </c>
      <c r="AD48" s="1" t="str">
        <f aca="false">IF(AD$16="","",AD$15)</f>
        <v>Tu</v>
      </c>
      <c r="AE48" s="1" t="str">
        <f aca="false">IF(AE$16="","",AE$15)</f>
        <v>We</v>
      </c>
      <c r="AF48" s="1" t="str">
        <f aca="false">IF(AF$16="","",AF$15)</f>
        <v>Th</v>
      </c>
      <c r="AG48" s="1" t="str">
        <f aca="false">IF(AG$16="","",AG$15)</f>
        <v/>
      </c>
      <c r="AH48" s="1"/>
      <c r="AI48" s="1"/>
      <c r="AJ48" s="1"/>
      <c r="AK48" s="1"/>
      <c r="AL48" s="1"/>
      <c r="AM48" s="1"/>
      <c r="AN48" s="1"/>
      <c r="AO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</row>
  </sheetData>
  <mergeCells count="31">
    <mergeCell ref="B2:B3"/>
    <mergeCell ref="C2:Z2"/>
    <mergeCell ref="AA2:AG2"/>
    <mergeCell ref="AI2:AJ2"/>
    <mergeCell ref="AK2:AM2"/>
    <mergeCell ref="AI3:AJ4"/>
    <mergeCell ref="AK3:AM4"/>
    <mergeCell ref="AI5:AJ5"/>
    <mergeCell ref="AI6:AJ7"/>
    <mergeCell ref="AI8:AJ8"/>
    <mergeCell ref="AI9:AJ10"/>
    <mergeCell ref="B10:B12"/>
    <mergeCell ref="B14:B16"/>
    <mergeCell ref="C14:I14"/>
    <mergeCell ref="J14:P14"/>
    <mergeCell ref="Q14:W14"/>
    <mergeCell ref="X14:AD14"/>
    <mergeCell ref="AE14:AG14"/>
    <mergeCell ref="AI14:AM15"/>
    <mergeCell ref="C31:AG31"/>
    <mergeCell ref="AI31:AM31"/>
    <mergeCell ref="AJ32:AL32"/>
    <mergeCell ref="AJ33:AL33"/>
    <mergeCell ref="AJ34:AL34"/>
    <mergeCell ref="AJ35:AL35"/>
    <mergeCell ref="AJ36:AL36"/>
    <mergeCell ref="AJ37:AL37"/>
    <mergeCell ref="AJ38:AL38"/>
    <mergeCell ref="AJ39:AL39"/>
    <mergeCell ref="AJ40:AL40"/>
    <mergeCell ref="AJ41:AL41"/>
  </mergeCells>
  <conditionalFormatting sqref="C17:AG28">
    <cfRule type="expression" priority="2" aboveAverage="0" equalAverage="0" bottom="0" percent="0" rank="0" text="" dxfId="0">
      <formula>C$16=""</formula>
    </cfRule>
    <cfRule type="expression" priority="3" aboveAverage="0" equalAverage="0" bottom="0" percent="0" rank="0" text="" dxfId="1">
      <formula>C17=1</formula>
    </cfRule>
    <cfRule type="expression" priority="4" aboveAverage="0" equalAverage="0" bottom="0" percent="0" rank="0" text="" dxfId="2">
      <formula>C17=0</formula>
    </cfRule>
  </conditionalFormatting>
  <conditionalFormatting sqref="C32:AG33">
    <cfRule type="expression" priority="5" aboveAverage="0" equalAverage="0" bottom="0" percent="0" rank="0" text="" dxfId="3">
      <formula>C$16=""</formula>
    </cfRule>
  </conditionalFormatting>
  <conditionalFormatting sqref="AL17:AL28">
    <cfRule type="dataBar" priority="6">
      <dataBar showValue="1" minLength="10" maxLength="90">
        <cfvo type="num" val="0"/>
        <cfvo type="num" val="1"/>
        <color rgb="FF1F2433"/>
      </dataBar>
      <extLst>
        <ext xmlns:x14="http://schemas.microsoft.com/office/spreadsheetml/2009/9/main" uri="{B025F937-C7B1-47D3-B67F-A62EFF666E3E}">
          <x14:id>{1E656253-2BF1-4B5F-AEDB-9566C69E7DFD}</x14:id>
        </ext>
      </extLst>
    </cfRule>
  </conditionalFormatting>
  <dataValidations count="4">
    <dataValidation allowBlank="false" errorStyle="stop" operator="between" showDropDown="false" showErrorMessage="false" showInputMessage="false" sqref="B9" type="list">
      <formula1>"January,February,March,April,May,June,July,August,September,October,November,December"</formula1>
      <formula2>0</formula2>
    </dataValidation>
    <dataValidation allowBlank="true" errorStyle="stop" operator="between" showDropDown="false" showErrorMessage="false" showInputMessage="false" sqref="C17:AG28" type="list">
      <formula1>"TRUE,FALSE"</formula1>
      <formula2>0</formula2>
    </dataValidation>
    <dataValidation allowBlank="true" errorStyle="stop" operator="between" showDropDown="false" showErrorMessage="false" showInputMessage="false" sqref="C32:AG32" type="list">
      <formula1>"1,2,3,4,5,6,7,8,9,10"</formula1>
      <formula2>0</formula2>
    </dataValidation>
    <dataValidation allowBlank="true" errorStyle="stop" operator="between" showDropDown="false" showErrorMessage="false" showInputMessage="false" sqref="C33:AG33" type="list">
      <formula1>"0,1,2,3,4,5,6,7,8,9,10,11,12"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E656253-2BF1-4B5F-AEDB-9566C69E7DFD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1F2433"/>
              <x14:axisColor rgb="FF000000"/>
            </x14:dataBar>
          </x14:cfRule>
          <xm:sqref>AL17:AL28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433"/>
    <pageSetUpPr fitToPage="false"/>
  </sheetPr>
  <dimension ref="A1:AQ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0" topLeftCell="C1" activePane="topRight" state="frozen"/>
      <selection pane="topLeft" activeCell="A1" activeCellId="0" sqref="A1"/>
      <selection pane="top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3" min="3" style="0" width="3.9"/>
    <col collapsed="false" customWidth="true" hidden="false" outlineLevel="0" max="34" min="34" style="0" width="2"/>
    <col collapsed="false" customWidth="true" hidden="false" outlineLevel="0" max="36" min="35" style="0" width="8"/>
    <col collapsed="false" customWidth="true" hidden="false" outlineLevel="0" max="37" min="37" style="0" width="7"/>
    <col collapsed="false" customWidth="true" hidden="false" outlineLevel="0" max="38" min="38" style="0" width="14"/>
    <col collapsed="false" customWidth="true" hidden="false" outlineLevel="0" max="39" min="39" style="0" width="8"/>
    <col collapsed="false" customWidth="true" hidden="true" outlineLevel="0" max="43" min="40" style="0" width="13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Q1" s="2" t="s">
        <v>0</v>
      </c>
    </row>
    <row r="2" customFormat="false" ht="21.75" hidden="false" customHeight="true" outlineLevel="0" collapsed="false">
      <c r="A2" s="1"/>
      <c r="B2" s="3" t="s">
        <v>1</v>
      </c>
      <c r="C2" s="4" t="s">
        <v>2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 t="s">
        <v>3</v>
      </c>
      <c r="AB2" s="4"/>
      <c r="AC2" s="4"/>
      <c r="AD2" s="4"/>
      <c r="AE2" s="4"/>
      <c r="AF2" s="4"/>
      <c r="AG2" s="4"/>
      <c r="AH2" s="1"/>
      <c r="AI2" s="4" t="s">
        <v>4</v>
      </c>
      <c r="AJ2" s="4"/>
      <c r="AK2" s="4" t="s">
        <v>5</v>
      </c>
      <c r="AL2" s="4"/>
      <c r="AM2" s="4"/>
      <c r="AN2" s="1"/>
      <c r="AO2" s="1" t="s">
        <v>6</v>
      </c>
      <c r="AP2" s="2" t="n">
        <f aca="false">MATCH($B$9,$AQ$1:$AQ$12,0)</f>
        <v>5</v>
      </c>
      <c r="AQ2" s="2" t="s">
        <v>7</v>
      </c>
    </row>
    <row r="3" customFormat="false" ht="15.75" hidden="false" customHeight="true" outlineLevel="0" collapsed="false">
      <c r="A3" s="1"/>
      <c r="B3" s="3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5" t="n">
        <f aca="false">SUMPRODUCT(--(LEN($B$17:$B$28)&gt;0))*$AP$3</f>
        <v>310</v>
      </c>
      <c r="AJ3" s="5"/>
      <c r="AK3" s="6" t="n">
        <f aca="false">IF(AI3=0,0,AI6/AI3)</f>
        <v>0</v>
      </c>
      <c r="AL3" s="6"/>
      <c r="AM3" s="6"/>
      <c r="AN3" s="1"/>
      <c r="AO3" s="1" t="s">
        <v>8</v>
      </c>
      <c r="AP3" s="2" t="n">
        <f aca="false">DAY(DATE($B$7,$AP$2+1,0))</f>
        <v>31</v>
      </c>
      <c r="AQ3" s="2" t="s">
        <v>9</v>
      </c>
    </row>
    <row r="4" customFormat="false" ht="15.7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5"/>
      <c r="AJ4" s="5"/>
      <c r="AK4" s="6"/>
      <c r="AL4" s="6"/>
      <c r="AM4" s="6"/>
      <c r="AN4" s="1"/>
      <c r="AO4" s="1"/>
      <c r="AQ4" s="2" t="s">
        <v>10</v>
      </c>
    </row>
    <row r="5" customFormat="false" ht="15.75" hidden="false" customHeight="true" outlineLevel="0" collapsed="false">
      <c r="A5" s="1"/>
      <c r="B5" s="7" t="s">
        <v>11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4" t="s">
        <v>12</v>
      </c>
      <c r="AJ5" s="4"/>
      <c r="AK5" s="1"/>
      <c r="AL5" s="1"/>
      <c r="AM5" s="1"/>
      <c r="AN5" s="1"/>
      <c r="AO5" s="1" t="s">
        <v>12</v>
      </c>
      <c r="AP5" s="2" t="n">
        <f aca="false">AI6</f>
        <v>0</v>
      </c>
      <c r="AQ5" s="2" t="s">
        <v>13</v>
      </c>
    </row>
    <row r="6" customFormat="false" ht="15.75" hidden="false" customHeight="true" outlineLevel="0" collapsed="false">
      <c r="A6" s="1"/>
      <c r="B6" s="8" t="s">
        <v>14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5" t="n">
        <f aca="false">SUMPRODUCT(($B$17:$B$28&lt;&gt;"")*($C$17:$AG$28=TRUE()))</f>
        <v>0</v>
      </c>
      <c r="AJ6" s="5"/>
      <c r="AK6" s="1"/>
      <c r="AL6" s="1"/>
      <c r="AM6" s="1"/>
      <c r="AN6" s="1"/>
      <c r="AO6" s="1" t="s">
        <v>15</v>
      </c>
      <c r="AP6" s="2" t="n">
        <f aca="false">AI9</f>
        <v>310</v>
      </c>
      <c r="AQ6" s="2" t="s">
        <v>16</v>
      </c>
    </row>
    <row r="7" customFormat="false" ht="15.75" hidden="false" customHeight="true" outlineLevel="0" collapsed="false">
      <c r="A7" s="1"/>
      <c r="B7" s="30" t="n">
        <f aca="false">January!$B$7</f>
        <v>2026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5"/>
      <c r="AJ7" s="5"/>
      <c r="AK7" s="1"/>
      <c r="AL7" s="1"/>
      <c r="AM7" s="1"/>
      <c r="AN7" s="1"/>
      <c r="AO7" s="1"/>
      <c r="AQ7" s="2" t="s">
        <v>17</v>
      </c>
    </row>
    <row r="8" customFormat="false" ht="15.75" hidden="false" customHeight="true" outlineLevel="0" collapsed="false">
      <c r="A8" s="1"/>
      <c r="B8" s="8" t="s">
        <v>18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4" t="s">
        <v>15</v>
      </c>
      <c r="AJ8" s="4"/>
      <c r="AK8" s="1"/>
      <c r="AL8" s="1"/>
      <c r="AM8" s="1"/>
      <c r="AN8" s="1"/>
      <c r="AO8" s="1" t="s">
        <v>19</v>
      </c>
      <c r="AP8" s="2" t="n">
        <f aca="false">IF(OR(COUNTIF(C$16:I$16,"&gt;0")=0,SUMPRODUCT(--(LEN($B$17:$B$28)&gt;0))=0),0,SUMPRODUCT(($B$17:$B$28&lt;&gt;"")*(C$17:I$28=TRUE()))/(SUMPRODUCT(--(LEN($B$17:$B$28)&gt;0))*COUNTIF(C$16:I$16,"&gt;0")))</f>
        <v>0</v>
      </c>
      <c r="AQ8" s="2" t="s">
        <v>20</v>
      </c>
    </row>
    <row r="9" customFormat="false" ht="15.75" hidden="false" customHeight="true" outlineLevel="0" collapsed="false">
      <c r="A9" s="1"/>
      <c r="B9" s="9" t="s">
        <v>13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5" t="n">
        <f aca="false">AI3-AI6</f>
        <v>310</v>
      </c>
      <c r="AJ9" s="5"/>
      <c r="AK9" s="1"/>
      <c r="AL9" s="1"/>
      <c r="AM9" s="1"/>
      <c r="AN9" s="1"/>
      <c r="AO9" s="1" t="s">
        <v>21</v>
      </c>
      <c r="AP9" s="2" t="n">
        <f aca="false">IF(OR(COUNTIF(J$16:P$16,"&gt;0")=0,SUMPRODUCT(--(LEN($B$17:$B$28)&gt;0))=0),0,SUMPRODUCT(($B$17:$B$28&lt;&gt;"")*(J$17:P$28=TRUE()))/(SUMPRODUCT(--(LEN($B$17:$B$28)&gt;0))*COUNTIF(J$16:P$16,"&gt;0")))</f>
        <v>0</v>
      </c>
      <c r="AQ9" s="2" t="s">
        <v>22</v>
      </c>
    </row>
    <row r="10" customFormat="false" ht="15.75" hidden="false" customHeight="true" outlineLevel="0" collapsed="false">
      <c r="A10" s="1"/>
      <c r="B10" s="10" t="s">
        <v>23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5"/>
      <c r="AJ10" s="5"/>
      <c r="AK10" s="1"/>
      <c r="AL10" s="1"/>
      <c r="AM10" s="1"/>
      <c r="AN10" s="1"/>
      <c r="AO10" s="1" t="s">
        <v>24</v>
      </c>
      <c r="AP10" s="2" t="n">
        <f aca="false">IF(OR(COUNTIF(Q$16:W$16,"&gt;0")=0,SUMPRODUCT(--(LEN($B$17:$B$28)&gt;0))=0),0,SUMPRODUCT(($B$17:$B$28&lt;&gt;"")*(Q$17:W$28=TRUE()))/(SUMPRODUCT(--(LEN($B$17:$B$28)&gt;0))*COUNTIF(Q$16:W$16,"&gt;0")))</f>
        <v>0</v>
      </c>
      <c r="AQ10" s="2" t="s">
        <v>25</v>
      </c>
    </row>
    <row r="11" customFormat="false" ht="15.75" hidden="false" customHeight="true" outlineLevel="0" collapsed="false">
      <c r="A11" s="1"/>
      <c r="B11" s="10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 t="s">
        <v>26</v>
      </c>
      <c r="AP11" s="2" t="n">
        <f aca="false">IF(OR(COUNTIF(X$16:AD$16,"&gt;0")=0,SUMPRODUCT(--(LEN($B$17:$B$28)&gt;0))=0),0,SUMPRODUCT(($B$17:$B$28&lt;&gt;"")*(X$17:AD$28=TRUE()))/(SUMPRODUCT(--(LEN($B$17:$B$28)&gt;0))*COUNTIF(X$16:AD$16,"&gt;0")))</f>
        <v>0</v>
      </c>
      <c r="AQ11" s="2" t="s">
        <v>27</v>
      </c>
    </row>
    <row r="12" customFormat="false" ht="15.75" hidden="false" customHeight="true" outlineLevel="0" collapsed="false">
      <c r="A12" s="1"/>
      <c r="B12" s="10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 t="s">
        <v>28</v>
      </c>
      <c r="AP12" s="2" t="n">
        <f aca="false">IF(OR(COUNTIF(AE$16:AG$16,"&gt;0")=0,SUMPRODUCT(--(LEN($B$17:$B$28)&gt;0))=0),0,SUMPRODUCT(($B$17:$B$28&lt;&gt;"")*(AE$17:AG$28=TRUE()))/(SUMPRODUCT(--(LEN($B$17:$B$28)&gt;0))*COUNTIF(AE$16:AG$16,"&gt;0")))</f>
        <v>0</v>
      </c>
      <c r="AQ12" s="2" t="s">
        <v>29</v>
      </c>
    </row>
    <row r="13" customFormat="false" ht="15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</row>
    <row r="14" customFormat="false" ht="15" hidden="false" customHeight="false" outlineLevel="0" collapsed="false">
      <c r="A14" s="1"/>
      <c r="B14" s="11" t="s">
        <v>30</v>
      </c>
      <c r="C14" s="12" t="s">
        <v>19</v>
      </c>
      <c r="D14" s="12"/>
      <c r="E14" s="12"/>
      <c r="F14" s="12"/>
      <c r="G14" s="12"/>
      <c r="H14" s="12"/>
      <c r="I14" s="12"/>
      <c r="J14" s="12" t="s">
        <v>21</v>
      </c>
      <c r="K14" s="12"/>
      <c r="L14" s="12"/>
      <c r="M14" s="12"/>
      <c r="N14" s="12"/>
      <c r="O14" s="12"/>
      <c r="P14" s="12"/>
      <c r="Q14" s="12" t="s">
        <v>24</v>
      </c>
      <c r="R14" s="12"/>
      <c r="S14" s="12"/>
      <c r="T14" s="12"/>
      <c r="U14" s="12"/>
      <c r="V14" s="12"/>
      <c r="W14" s="12"/>
      <c r="X14" s="12" t="s">
        <v>26</v>
      </c>
      <c r="Y14" s="12"/>
      <c r="Z14" s="12"/>
      <c r="AA14" s="12"/>
      <c r="AB14" s="12"/>
      <c r="AC14" s="12"/>
      <c r="AD14" s="12"/>
      <c r="AE14" s="12" t="s">
        <v>28</v>
      </c>
      <c r="AF14" s="12"/>
      <c r="AG14" s="12"/>
      <c r="AH14" s="1"/>
      <c r="AI14" s="13" t="s">
        <v>31</v>
      </c>
      <c r="AJ14" s="13"/>
      <c r="AK14" s="13"/>
      <c r="AL14" s="13"/>
      <c r="AM14" s="13"/>
      <c r="AN14" s="1"/>
      <c r="AO14" s="1"/>
    </row>
    <row r="15" customFormat="false" ht="15" hidden="false" customHeight="false" outlineLevel="0" collapsed="false">
      <c r="A15" s="1"/>
      <c r="B15" s="11"/>
      <c r="C15" s="14" t="str">
        <f aca="false">IF(1&gt;$AP$3,"",CHOOSE(WEEKDAY(DATE($B$7,$AP$2,1)),"Su","Mo","Tu","We","Th","Fr","Sa"))</f>
        <v>Fr</v>
      </c>
      <c r="D15" s="14" t="str">
        <f aca="false">IF(2&gt;$AP$3,"",CHOOSE(WEEKDAY(DATE($B$7,$AP$2,2)),"Su","Mo","Tu","We","Th","Fr","Sa"))</f>
        <v>Sa</v>
      </c>
      <c r="E15" s="14" t="str">
        <f aca="false">IF(3&gt;$AP$3,"",CHOOSE(WEEKDAY(DATE($B$7,$AP$2,3)),"Su","Mo","Tu","We","Th","Fr","Sa"))</f>
        <v>Su</v>
      </c>
      <c r="F15" s="14" t="str">
        <f aca="false">IF(4&gt;$AP$3,"",CHOOSE(WEEKDAY(DATE($B$7,$AP$2,4)),"Su","Mo","Tu","We","Th","Fr","Sa"))</f>
        <v>Mo</v>
      </c>
      <c r="G15" s="14" t="str">
        <f aca="false">IF(5&gt;$AP$3,"",CHOOSE(WEEKDAY(DATE($B$7,$AP$2,5)),"Su","Mo","Tu","We","Th","Fr","Sa"))</f>
        <v>Tu</v>
      </c>
      <c r="H15" s="14" t="str">
        <f aca="false">IF(6&gt;$AP$3,"",CHOOSE(WEEKDAY(DATE($B$7,$AP$2,6)),"Su","Mo","Tu","We","Th","Fr","Sa"))</f>
        <v>We</v>
      </c>
      <c r="I15" s="14" t="str">
        <f aca="false">IF(7&gt;$AP$3,"",CHOOSE(WEEKDAY(DATE($B$7,$AP$2,7)),"Su","Mo","Tu","We","Th","Fr","Sa"))</f>
        <v>Th</v>
      </c>
      <c r="J15" s="14" t="str">
        <f aca="false">IF(8&gt;$AP$3,"",CHOOSE(WEEKDAY(DATE($B$7,$AP$2,8)),"Su","Mo","Tu","We","Th","Fr","Sa"))</f>
        <v>Fr</v>
      </c>
      <c r="K15" s="14" t="str">
        <f aca="false">IF(9&gt;$AP$3,"",CHOOSE(WEEKDAY(DATE($B$7,$AP$2,9)),"Su","Mo","Tu","We","Th","Fr","Sa"))</f>
        <v>Sa</v>
      </c>
      <c r="L15" s="14" t="str">
        <f aca="false">IF(10&gt;$AP$3,"",CHOOSE(WEEKDAY(DATE($B$7,$AP$2,10)),"Su","Mo","Tu","We","Th","Fr","Sa"))</f>
        <v>Su</v>
      </c>
      <c r="M15" s="14" t="str">
        <f aca="false">IF(11&gt;$AP$3,"",CHOOSE(WEEKDAY(DATE($B$7,$AP$2,11)),"Su","Mo","Tu","We","Th","Fr","Sa"))</f>
        <v>Mo</v>
      </c>
      <c r="N15" s="14" t="str">
        <f aca="false">IF(12&gt;$AP$3,"",CHOOSE(WEEKDAY(DATE($B$7,$AP$2,12)),"Su","Mo","Tu","We","Th","Fr","Sa"))</f>
        <v>Tu</v>
      </c>
      <c r="O15" s="14" t="str">
        <f aca="false">IF(13&gt;$AP$3,"",CHOOSE(WEEKDAY(DATE($B$7,$AP$2,13)),"Su","Mo","Tu","We","Th","Fr","Sa"))</f>
        <v>We</v>
      </c>
      <c r="P15" s="14" t="str">
        <f aca="false">IF(14&gt;$AP$3,"",CHOOSE(WEEKDAY(DATE($B$7,$AP$2,14)),"Su","Mo","Tu","We","Th","Fr","Sa"))</f>
        <v>Th</v>
      </c>
      <c r="Q15" s="14" t="str">
        <f aca="false">IF(15&gt;$AP$3,"",CHOOSE(WEEKDAY(DATE($B$7,$AP$2,15)),"Su","Mo","Tu","We","Th","Fr","Sa"))</f>
        <v>Fr</v>
      </c>
      <c r="R15" s="14" t="str">
        <f aca="false">IF(16&gt;$AP$3,"",CHOOSE(WEEKDAY(DATE($B$7,$AP$2,16)),"Su","Mo","Tu","We","Th","Fr","Sa"))</f>
        <v>Sa</v>
      </c>
      <c r="S15" s="14" t="str">
        <f aca="false">IF(17&gt;$AP$3,"",CHOOSE(WEEKDAY(DATE($B$7,$AP$2,17)),"Su","Mo","Tu","We","Th","Fr","Sa"))</f>
        <v>Su</v>
      </c>
      <c r="T15" s="14" t="str">
        <f aca="false">IF(18&gt;$AP$3,"",CHOOSE(WEEKDAY(DATE($B$7,$AP$2,18)),"Su","Mo","Tu","We","Th","Fr","Sa"))</f>
        <v>Mo</v>
      </c>
      <c r="U15" s="14" t="str">
        <f aca="false">IF(19&gt;$AP$3,"",CHOOSE(WEEKDAY(DATE($B$7,$AP$2,19)),"Su","Mo","Tu","We","Th","Fr","Sa"))</f>
        <v>Tu</v>
      </c>
      <c r="V15" s="14" t="str">
        <f aca="false">IF(20&gt;$AP$3,"",CHOOSE(WEEKDAY(DATE($B$7,$AP$2,20)),"Su","Mo","Tu","We","Th","Fr","Sa"))</f>
        <v>We</v>
      </c>
      <c r="W15" s="14" t="str">
        <f aca="false">IF(21&gt;$AP$3,"",CHOOSE(WEEKDAY(DATE($B$7,$AP$2,21)),"Su","Mo","Tu","We","Th","Fr","Sa"))</f>
        <v>Th</v>
      </c>
      <c r="X15" s="14" t="str">
        <f aca="false">IF(22&gt;$AP$3,"",CHOOSE(WEEKDAY(DATE($B$7,$AP$2,22)),"Su","Mo","Tu","We","Th","Fr","Sa"))</f>
        <v>Fr</v>
      </c>
      <c r="Y15" s="14" t="str">
        <f aca="false">IF(23&gt;$AP$3,"",CHOOSE(WEEKDAY(DATE($B$7,$AP$2,23)),"Su","Mo","Tu","We","Th","Fr","Sa"))</f>
        <v>Sa</v>
      </c>
      <c r="Z15" s="14" t="str">
        <f aca="false">IF(24&gt;$AP$3,"",CHOOSE(WEEKDAY(DATE($B$7,$AP$2,24)),"Su","Mo","Tu","We","Th","Fr","Sa"))</f>
        <v>Su</v>
      </c>
      <c r="AA15" s="14" t="str">
        <f aca="false">IF(25&gt;$AP$3,"",CHOOSE(WEEKDAY(DATE($B$7,$AP$2,25)),"Su","Mo","Tu","We","Th","Fr","Sa"))</f>
        <v>Mo</v>
      </c>
      <c r="AB15" s="14" t="str">
        <f aca="false">IF(26&gt;$AP$3,"",CHOOSE(WEEKDAY(DATE($B$7,$AP$2,26)),"Su","Mo","Tu","We","Th","Fr","Sa"))</f>
        <v>Tu</v>
      </c>
      <c r="AC15" s="14" t="str">
        <f aca="false">IF(27&gt;$AP$3,"",CHOOSE(WEEKDAY(DATE($B$7,$AP$2,27)),"Su","Mo","Tu","We","Th","Fr","Sa"))</f>
        <v>We</v>
      </c>
      <c r="AD15" s="14" t="str">
        <f aca="false">IF(28&gt;$AP$3,"",CHOOSE(WEEKDAY(DATE($B$7,$AP$2,28)),"Su","Mo","Tu","We","Th","Fr","Sa"))</f>
        <v>Th</v>
      </c>
      <c r="AE15" s="14" t="str">
        <f aca="false">IF(29&gt;$AP$3,"",CHOOSE(WEEKDAY(DATE($B$7,$AP$2,29)),"Su","Mo","Tu","We","Th","Fr","Sa"))</f>
        <v>Fr</v>
      </c>
      <c r="AF15" s="14" t="str">
        <f aca="false">IF(30&gt;$AP$3,"",CHOOSE(WEEKDAY(DATE($B$7,$AP$2,30)),"Su","Mo","Tu","We","Th","Fr","Sa"))</f>
        <v>Sa</v>
      </c>
      <c r="AG15" s="14" t="str">
        <f aca="false">IF(31&gt;$AP$3,"",CHOOSE(WEEKDAY(DATE($B$7,$AP$2,31)),"Su","Mo","Tu","We","Th","Fr","Sa"))</f>
        <v>Su</v>
      </c>
      <c r="AH15" s="1"/>
      <c r="AI15" s="13"/>
      <c r="AJ15" s="13"/>
      <c r="AK15" s="13"/>
      <c r="AL15" s="13"/>
      <c r="AM15" s="13"/>
      <c r="AN15" s="1"/>
      <c r="AO15" s="1"/>
    </row>
    <row r="16" customFormat="false" ht="15" hidden="false" customHeight="false" outlineLevel="0" collapsed="false">
      <c r="A16" s="1"/>
      <c r="B16" s="11"/>
      <c r="C16" s="14" t="n">
        <f aca="false">IF(1&gt;$AP$3,"",1)</f>
        <v>1</v>
      </c>
      <c r="D16" s="14" t="n">
        <f aca="false">IF(2&gt;$AP$3,"",2)</f>
        <v>2</v>
      </c>
      <c r="E16" s="14" t="n">
        <f aca="false">IF(3&gt;$AP$3,"",3)</f>
        <v>3</v>
      </c>
      <c r="F16" s="14" t="n">
        <f aca="false">IF(4&gt;$AP$3,"",4)</f>
        <v>4</v>
      </c>
      <c r="G16" s="14" t="n">
        <f aca="false">IF(5&gt;$AP$3,"",5)</f>
        <v>5</v>
      </c>
      <c r="H16" s="14" t="n">
        <f aca="false">IF(6&gt;$AP$3,"",6)</f>
        <v>6</v>
      </c>
      <c r="I16" s="14" t="n">
        <f aca="false">IF(7&gt;$AP$3,"",7)</f>
        <v>7</v>
      </c>
      <c r="J16" s="14" t="n">
        <f aca="false">IF(8&gt;$AP$3,"",8)</f>
        <v>8</v>
      </c>
      <c r="K16" s="14" t="n">
        <f aca="false">IF(9&gt;$AP$3,"",9)</f>
        <v>9</v>
      </c>
      <c r="L16" s="14" t="n">
        <f aca="false">IF(10&gt;$AP$3,"",10)</f>
        <v>10</v>
      </c>
      <c r="M16" s="14" t="n">
        <f aca="false">IF(11&gt;$AP$3,"",11)</f>
        <v>11</v>
      </c>
      <c r="N16" s="14" t="n">
        <f aca="false">IF(12&gt;$AP$3,"",12)</f>
        <v>12</v>
      </c>
      <c r="O16" s="14" t="n">
        <f aca="false">IF(13&gt;$AP$3,"",13)</f>
        <v>13</v>
      </c>
      <c r="P16" s="14" t="n">
        <f aca="false">IF(14&gt;$AP$3,"",14)</f>
        <v>14</v>
      </c>
      <c r="Q16" s="14" t="n">
        <f aca="false">IF(15&gt;$AP$3,"",15)</f>
        <v>15</v>
      </c>
      <c r="R16" s="14" t="n">
        <f aca="false">IF(16&gt;$AP$3,"",16)</f>
        <v>16</v>
      </c>
      <c r="S16" s="14" t="n">
        <f aca="false">IF(17&gt;$AP$3,"",17)</f>
        <v>17</v>
      </c>
      <c r="T16" s="14" t="n">
        <f aca="false">IF(18&gt;$AP$3,"",18)</f>
        <v>18</v>
      </c>
      <c r="U16" s="14" t="n">
        <f aca="false">IF(19&gt;$AP$3,"",19)</f>
        <v>19</v>
      </c>
      <c r="V16" s="14" t="n">
        <f aca="false">IF(20&gt;$AP$3,"",20)</f>
        <v>20</v>
      </c>
      <c r="W16" s="14" t="n">
        <f aca="false">IF(21&gt;$AP$3,"",21)</f>
        <v>21</v>
      </c>
      <c r="X16" s="14" t="n">
        <f aca="false">IF(22&gt;$AP$3,"",22)</f>
        <v>22</v>
      </c>
      <c r="Y16" s="14" t="n">
        <f aca="false">IF(23&gt;$AP$3,"",23)</f>
        <v>23</v>
      </c>
      <c r="Z16" s="14" t="n">
        <f aca="false">IF(24&gt;$AP$3,"",24)</f>
        <v>24</v>
      </c>
      <c r="AA16" s="14" t="n">
        <f aca="false">IF(25&gt;$AP$3,"",25)</f>
        <v>25</v>
      </c>
      <c r="AB16" s="14" t="n">
        <f aca="false">IF(26&gt;$AP$3,"",26)</f>
        <v>26</v>
      </c>
      <c r="AC16" s="14" t="n">
        <f aca="false">IF(27&gt;$AP$3,"",27)</f>
        <v>27</v>
      </c>
      <c r="AD16" s="14" t="n">
        <f aca="false">IF(28&gt;$AP$3,"",28)</f>
        <v>28</v>
      </c>
      <c r="AE16" s="14" t="n">
        <f aca="false">IF(29&gt;$AP$3,"",29)</f>
        <v>29</v>
      </c>
      <c r="AF16" s="14" t="n">
        <f aca="false">IF(30&gt;$AP$3,"",30)</f>
        <v>30</v>
      </c>
      <c r="AG16" s="14" t="n">
        <f aca="false">IF(31&gt;$AP$3,"",31)</f>
        <v>31</v>
      </c>
      <c r="AH16" s="1"/>
      <c r="AI16" s="15" t="s">
        <v>4</v>
      </c>
      <c r="AJ16" s="15" t="s">
        <v>32</v>
      </c>
      <c r="AK16" s="15" t="s">
        <v>15</v>
      </c>
      <c r="AL16" s="15" t="s">
        <v>33</v>
      </c>
      <c r="AM16" s="15" t="s">
        <v>34</v>
      </c>
      <c r="AN16" s="1"/>
      <c r="AO16" s="1"/>
    </row>
    <row r="17" customFormat="false" ht="18" hidden="false" customHeight="true" outlineLevel="0" collapsed="false">
      <c r="A17" s="1"/>
      <c r="B17" s="16" t="s">
        <v>35</v>
      </c>
      <c r="C17" s="17" t="b">
        <f aca="false">FALSE()</f>
        <v>0</v>
      </c>
      <c r="D17" s="17" t="b">
        <f aca="false">FALSE()</f>
        <v>0</v>
      </c>
      <c r="E17" s="17" t="b">
        <f aca="false">FALSE()</f>
        <v>0</v>
      </c>
      <c r="F17" s="17" t="b">
        <f aca="false">FALSE()</f>
        <v>0</v>
      </c>
      <c r="G17" s="17" t="b">
        <f aca="false">FALSE()</f>
        <v>0</v>
      </c>
      <c r="H17" s="17" t="b">
        <f aca="false">FALSE()</f>
        <v>0</v>
      </c>
      <c r="I17" s="17" t="b">
        <f aca="false">FALSE()</f>
        <v>0</v>
      </c>
      <c r="J17" s="17" t="b">
        <f aca="false">FALSE()</f>
        <v>0</v>
      </c>
      <c r="K17" s="17" t="b">
        <f aca="false">FALSE()</f>
        <v>0</v>
      </c>
      <c r="L17" s="17" t="b">
        <f aca="false">FALSE()</f>
        <v>0</v>
      </c>
      <c r="M17" s="17" t="b">
        <f aca="false">FALSE()</f>
        <v>0</v>
      </c>
      <c r="N17" s="17" t="b">
        <f aca="false">FALSE()</f>
        <v>0</v>
      </c>
      <c r="O17" s="17" t="b">
        <f aca="false">FALSE()</f>
        <v>0</v>
      </c>
      <c r="P17" s="17" t="b">
        <f aca="false">FALSE()</f>
        <v>0</v>
      </c>
      <c r="Q17" s="17" t="b">
        <f aca="false">FALSE()</f>
        <v>0</v>
      </c>
      <c r="R17" s="17" t="b">
        <f aca="false">FALSE()</f>
        <v>0</v>
      </c>
      <c r="S17" s="17" t="b">
        <f aca="false">FALSE()</f>
        <v>0</v>
      </c>
      <c r="T17" s="17" t="b">
        <f aca="false">FALSE()</f>
        <v>0</v>
      </c>
      <c r="U17" s="17" t="b">
        <f aca="false">FALSE()</f>
        <v>0</v>
      </c>
      <c r="V17" s="17" t="b">
        <f aca="false">FALSE()</f>
        <v>0</v>
      </c>
      <c r="W17" s="17" t="b">
        <f aca="false">FALSE()</f>
        <v>0</v>
      </c>
      <c r="X17" s="17" t="b">
        <f aca="false">FALSE()</f>
        <v>0</v>
      </c>
      <c r="Y17" s="17" t="b">
        <f aca="false">FALSE()</f>
        <v>0</v>
      </c>
      <c r="Z17" s="17" t="b">
        <f aca="false">FALSE()</f>
        <v>0</v>
      </c>
      <c r="AA17" s="17" t="b">
        <f aca="false">FALSE()</f>
        <v>0</v>
      </c>
      <c r="AB17" s="17" t="b">
        <f aca="false">FALSE()</f>
        <v>0</v>
      </c>
      <c r="AC17" s="17" t="b">
        <f aca="false">FALSE()</f>
        <v>0</v>
      </c>
      <c r="AD17" s="17" t="b">
        <f aca="false">FALSE()</f>
        <v>0</v>
      </c>
      <c r="AE17" s="17" t="b">
        <f aca="false">FALSE()</f>
        <v>0</v>
      </c>
      <c r="AF17" s="17" t="b">
        <f aca="false">FALSE()</f>
        <v>0</v>
      </c>
      <c r="AG17" s="17" t="b">
        <f aca="false">FALSE()</f>
        <v>0</v>
      </c>
      <c r="AH17" s="1"/>
      <c r="AI17" s="18" t="n">
        <f aca="false">IF($B17="","",$AP$3)</f>
        <v>31</v>
      </c>
      <c r="AJ17" s="18" t="n">
        <f aca="false">IF($B17="","",COUNTIF(C17:AG17,TRUE()))</f>
        <v>0</v>
      </c>
      <c r="AK17" s="18" t="n">
        <f aca="false">IF($B17="","",AI17-AJ17)</f>
        <v>31</v>
      </c>
      <c r="AL17" s="19" t="n">
        <f aca="false">IF($B17="","",AJ17/AI17)</f>
        <v>0</v>
      </c>
      <c r="AM17" s="20" t="n">
        <f aca="false">IF($B17="","",AJ17/AI17)</f>
        <v>0</v>
      </c>
      <c r="AN17" s="21" t="n">
        <f aca="false">IF($B17="",-1,AM17-ROW()/100000)</f>
        <v>-0.00017</v>
      </c>
      <c r="AO17" s="1"/>
    </row>
    <row r="18" customFormat="false" ht="18" hidden="false" customHeight="true" outlineLevel="0" collapsed="false">
      <c r="A18" s="1"/>
      <c r="B18" s="16" t="s">
        <v>36</v>
      </c>
      <c r="C18" s="17" t="b">
        <f aca="false">FALSE()</f>
        <v>0</v>
      </c>
      <c r="D18" s="17" t="b">
        <f aca="false">FALSE()</f>
        <v>0</v>
      </c>
      <c r="E18" s="17" t="b">
        <f aca="false">FALSE()</f>
        <v>0</v>
      </c>
      <c r="F18" s="17" t="b">
        <f aca="false">FALSE()</f>
        <v>0</v>
      </c>
      <c r="G18" s="17" t="b">
        <f aca="false">FALSE()</f>
        <v>0</v>
      </c>
      <c r="H18" s="17" t="b">
        <f aca="false">FALSE()</f>
        <v>0</v>
      </c>
      <c r="I18" s="17" t="b">
        <f aca="false">FALSE()</f>
        <v>0</v>
      </c>
      <c r="J18" s="17" t="b">
        <f aca="false">FALSE()</f>
        <v>0</v>
      </c>
      <c r="K18" s="17" t="b">
        <f aca="false">FALSE()</f>
        <v>0</v>
      </c>
      <c r="L18" s="17" t="b">
        <f aca="false">FALSE()</f>
        <v>0</v>
      </c>
      <c r="M18" s="17" t="b">
        <f aca="false">FALSE()</f>
        <v>0</v>
      </c>
      <c r="N18" s="17" t="b">
        <f aca="false">FALSE()</f>
        <v>0</v>
      </c>
      <c r="O18" s="17" t="b">
        <f aca="false">FALSE()</f>
        <v>0</v>
      </c>
      <c r="P18" s="17" t="b">
        <f aca="false">FALSE()</f>
        <v>0</v>
      </c>
      <c r="Q18" s="17" t="b">
        <f aca="false">FALSE()</f>
        <v>0</v>
      </c>
      <c r="R18" s="17" t="b">
        <f aca="false">FALSE()</f>
        <v>0</v>
      </c>
      <c r="S18" s="17" t="b">
        <f aca="false">FALSE()</f>
        <v>0</v>
      </c>
      <c r="T18" s="17" t="b">
        <f aca="false">FALSE()</f>
        <v>0</v>
      </c>
      <c r="U18" s="17" t="b">
        <f aca="false">FALSE()</f>
        <v>0</v>
      </c>
      <c r="V18" s="17" t="b">
        <f aca="false">FALSE()</f>
        <v>0</v>
      </c>
      <c r="W18" s="17" t="b">
        <f aca="false">FALSE()</f>
        <v>0</v>
      </c>
      <c r="X18" s="17" t="b">
        <f aca="false">FALSE()</f>
        <v>0</v>
      </c>
      <c r="Y18" s="17" t="b">
        <f aca="false">FALSE()</f>
        <v>0</v>
      </c>
      <c r="Z18" s="17" t="b">
        <f aca="false">FALSE()</f>
        <v>0</v>
      </c>
      <c r="AA18" s="17" t="b">
        <f aca="false">FALSE()</f>
        <v>0</v>
      </c>
      <c r="AB18" s="17" t="b">
        <f aca="false">FALSE()</f>
        <v>0</v>
      </c>
      <c r="AC18" s="17" t="b">
        <f aca="false">FALSE()</f>
        <v>0</v>
      </c>
      <c r="AD18" s="17" t="b">
        <f aca="false">FALSE()</f>
        <v>0</v>
      </c>
      <c r="AE18" s="17" t="b">
        <f aca="false">FALSE()</f>
        <v>0</v>
      </c>
      <c r="AF18" s="17" t="b">
        <f aca="false">FALSE()</f>
        <v>0</v>
      </c>
      <c r="AG18" s="17" t="b">
        <f aca="false">FALSE()</f>
        <v>0</v>
      </c>
      <c r="AH18" s="1"/>
      <c r="AI18" s="18" t="n">
        <f aca="false">IF($B18="","",$AP$3)</f>
        <v>31</v>
      </c>
      <c r="AJ18" s="18" t="n">
        <f aca="false">IF($B18="","",COUNTIF(C18:AG18,TRUE()))</f>
        <v>0</v>
      </c>
      <c r="AK18" s="18" t="n">
        <f aca="false">IF($B18="","",AI18-AJ18)</f>
        <v>31</v>
      </c>
      <c r="AL18" s="19" t="n">
        <f aca="false">IF($B18="","",AJ18/AI18)</f>
        <v>0</v>
      </c>
      <c r="AM18" s="20" t="n">
        <f aca="false">IF($B18="","",AJ18/AI18)</f>
        <v>0</v>
      </c>
      <c r="AN18" s="21" t="n">
        <f aca="false">IF($B18="",-1,AM18-ROW()/100000)</f>
        <v>-0.00018</v>
      </c>
      <c r="AO18" s="1"/>
    </row>
    <row r="19" customFormat="false" ht="18" hidden="false" customHeight="true" outlineLevel="0" collapsed="false">
      <c r="A19" s="1"/>
      <c r="B19" s="16" t="s">
        <v>37</v>
      </c>
      <c r="C19" s="17" t="b">
        <f aca="false">FALSE()</f>
        <v>0</v>
      </c>
      <c r="D19" s="17" t="b">
        <f aca="false">FALSE()</f>
        <v>0</v>
      </c>
      <c r="E19" s="17" t="b">
        <f aca="false">FALSE()</f>
        <v>0</v>
      </c>
      <c r="F19" s="17" t="b">
        <f aca="false">FALSE()</f>
        <v>0</v>
      </c>
      <c r="G19" s="17" t="b">
        <f aca="false">FALSE()</f>
        <v>0</v>
      </c>
      <c r="H19" s="17" t="b">
        <f aca="false">FALSE()</f>
        <v>0</v>
      </c>
      <c r="I19" s="17" t="b">
        <f aca="false">FALSE()</f>
        <v>0</v>
      </c>
      <c r="J19" s="17" t="b">
        <f aca="false">FALSE()</f>
        <v>0</v>
      </c>
      <c r="K19" s="17" t="b">
        <f aca="false">FALSE()</f>
        <v>0</v>
      </c>
      <c r="L19" s="17" t="b">
        <f aca="false">FALSE()</f>
        <v>0</v>
      </c>
      <c r="M19" s="17" t="b">
        <f aca="false">FALSE()</f>
        <v>0</v>
      </c>
      <c r="N19" s="17" t="b">
        <f aca="false">FALSE()</f>
        <v>0</v>
      </c>
      <c r="O19" s="17" t="b">
        <f aca="false">FALSE()</f>
        <v>0</v>
      </c>
      <c r="P19" s="17" t="b">
        <f aca="false">FALSE()</f>
        <v>0</v>
      </c>
      <c r="Q19" s="17" t="b">
        <f aca="false">FALSE()</f>
        <v>0</v>
      </c>
      <c r="R19" s="17" t="b">
        <f aca="false">FALSE()</f>
        <v>0</v>
      </c>
      <c r="S19" s="17" t="b">
        <f aca="false">FALSE()</f>
        <v>0</v>
      </c>
      <c r="T19" s="17" t="b">
        <f aca="false">FALSE()</f>
        <v>0</v>
      </c>
      <c r="U19" s="17" t="b">
        <f aca="false">FALSE()</f>
        <v>0</v>
      </c>
      <c r="V19" s="17" t="b">
        <f aca="false">FALSE()</f>
        <v>0</v>
      </c>
      <c r="W19" s="17" t="b">
        <f aca="false">FALSE()</f>
        <v>0</v>
      </c>
      <c r="X19" s="17" t="b">
        <f aca="false">FALSE()</f>
        <v>0</v>
      </c>
      <c r="Y19" s="17" t="b">
        <f aca="false">FALSE()</f>
        <v>0</v>
      </c>
      <c r="Z19" s="17" t="b">
        <f aca="false">FALSE()</f>
        <v>0</v>
      </c>
      <c r="AA19" s="17" t="b">
        <f aca="false">FALSE()</f>
        <v>0</v>
      </c>
      <c r="AB19" s="17" t="b">
        <f aca="false">FALSE()</f>
        <v>0</v>
      </c>
      <c r="AC19" s="17" t="b">
        <f aca="false">FALSE()</f>
        <v>0</v>
      </c>
      <c r="AD19" s="17" t="b">
        <f aca="false">FALSE()</f>
        <v>0</v>
      </c>
      <c r="AE19" s="17" t="b">
        <f aca="false">FALSE()</f>
        <v>0</v>
      </c>
      <c r="AF19" s="17" t="b">
        <f aca="false">FALSE()</f>
        <v>0</v>
      </c>
      <c r="AG19" s="17" t="b">
        <f aca="false">FALSE()</f>
        <v>0</v>
      </c>
      <c r="AH19" s="1"/>
      <c r="AI19" s="18" t="n">
        <f aca="false">IF($B19="","",$AP$3)</f>
        <v>31</v>
      </c>
      <c r="AJ19" s="18" t="n">
        <f aca="false">IF($B19="","",COUNTIF(C19:AG19,TRUE()))</f>
        <v>0</v>
      </c>
      <c r="AK19" s="18" t="n">
        <f aca="false">IF($B19="","",AI19-AJ19)</f>
        <v>31</v>
      </c>
      <c r="AL19" s="19" t="n">
        <f aca="false">IF($B19="","",AJ19/AI19)</f>
        <v>0</v>
      </c>
      <c r="AM19" s="20" t="n">
        <f aca="false">IF($B19="","",AJ19/AI19)</f>
        <v>0</v>
      </c>
      <c r="AN19" s="21" t="n">
        <f aca="false">IF($B19="",-1,AM19-ROW()/100000)</f>
        <v>-0.00019</v>
      </c>
      <c r="AO19" s="1"/>
    </row>
    <row r="20" customFormat="false" ht="18" hidden="false" customHeight="true" outlineLevel="0" collapsed="false">
      <c r="A20" s="1"/>
      <c r="B20" s="16" t="s">
        <v>38</v>
      </c>
      <c r="C20" s="17" t="b">
        <f aca="false">FALSE()</f>
        <v>0</v>
      </c>
      <c r="D20" s="17" t="b">
        <f aca="false">FALSE()</f>
        <v>0</v>
      </c>
      <c r="E20" s="17" t="b">
        <f aca="false">FALSE()</f>
        <v>0</v>
      </c>
      <c r="F20" s="17" t="b">
        <f aca="false">FALSE()</f>
        <v>0</v>
      </c>
      <c r="G20" s="17" t="b">
        <f aca="false">FALSE()</f>
        <v>0</v>
      </c>
      <c r="H20" s="17" t="b">
        <f aca="false">FALSE()</f>
        <v>0</v>
      </c>
      <c r="I20" s="17" t="b">
        <f aca="false">FALSE()</f>
        <v>0</v>
      </c>
      <c r="J20" s="17" t="b">
        <f aca="false">FALSE()</f>
        <v>0</v>
      </c>
      <c r="K20" s="17" t="b">
        <f aca="false">FALSE()</f>
        <v>0</v>
      </c>
      <c r="L20" s="17" t="b">
        <f aca="false">FALSE()</f>
        <v>0</v>
      </c>
      <c r="M20" s="17" t="b">
        <f aca="false">FALSE()</f>
        <v>0</v>
      </c>
      <c r="N20" s="17" t="b">
        <f aca="false">FALSE()</f>
        <v>0</v>
      </c>
      <c r="O20" s="17" t="b">
        <f aca="false">FALSE()</f>
        <v>0</v>
      </c>
      <c r="P20" s="17" t="b">
        <f aca="false">FALSE()</f>
        <v>0</v>
      </c>
      <c r="Q20" s="17" t="b">
        <f aca="false">FALSE()</f>
        <v>0</v>
      </c>
      <c r="R20" s="17" t="b">
        <f aca="false">FALSE()</f>
        <v>0</v>
      </c>
      <c r="S20" s="17" t="b">
        <f aca="false">FALSE()</f>
        <v>0</v>
      </c>
      <c r="T20" s="17" t="b">
        <f aca="false">FALSE()</f>
        <v>0</v>
      </c>
      <c r="U20" s="17" t="b">
        <f aca="false">FALSE()</f>
        <v>0</v>
      </c>
      <c r="V20" s="17" t="b">
        <f aca="false">FALSE()</f>
        <v>0</v>
      </c>
      <c r="W20" s="17" t="b">
        <f aca="false">FALSE()</f>
        <v>0</v>
      </c>
      <c r="X20" s="17" t="b">
        <f aca="false">FALSE()</f>
        <v>0</v>
      </c>
      <c r="Y20" s="17" t="b">
        <f aca="false">FALSE()</f>
        <v>0</v>
      </c>
      <c r="Z20" s="17" t="b">
        <f aca="false">FALSE()</f>
        <v>0</v>
      </c>
      <c r="AA20" s="17" t="b">
        <f aca="false">FALSE()</f>
        <v>0</v>
      </c>
      <c r="AB20" s="17" t="b">
        <f aca="false">FALSE()</f>
        <v>0</v>
      </c>
      <c r="AC20" s="17" t="b">
        <f aca="false">FALSE()</f>
        <v>0</v>
      </c>
      <c r="AD20" s="17" t="b">
        <f aca="false">FALSE()</f>
        <v>0</v>
      </c>
      <c r="AE20" s="17" t="b">
        <f aca="false">FALSE()</f>
        <v>0</v>
      </c>
      <c r="AF20" s="17" t="b">
        <f aca="false">FALSE()</f>
        <v>0</v>
      </c>
      <c r="AG20" s="17" t="b">
        <f aca="false">FALSE()</f>
        <v>0</v>
      </c>
      <c r="AH20" s="1"/>
      <c r="AI20" s="18" t="n">
        <f aca="false">IF($B20="","",$AP$3)</f>
        <v>31</v>
      </c>
      <c r="AJ20" s="18" t="n">
        <f aca="false">IF($B20="","",COUNTIF(C20:AG20,TRUE()))</f>
        <v>0</v>
      </c>
      <c r="AK20" s="18" t="n">
        <f aca="false">IF($B20="","",AI20-AJ20)</f>
        <v>31</v>
      </c>
      <c r="AL20" s="19" t="n">
        <f aca="false">IF($B20="","",AJ20/AI20)</f>
        <v>0</v>
      </c>
      <c r="AM20" s="20" t="n">
        <f aca="false">IF($B20="","",AJ20/AI20)</f>
        <v>0</v>
      </c>
      <c r="AN20" s="21" t="n">
        <f aca="false">IF($B20="",-1,AM20-ROW()/100000)</f>
        <v>-0.0002</v>
      </c>
      <c r="AO20" s="1"/>
    </row>
    <row r="21" customFormat="false" ht="18" hidden="false" customHeight="true" outlineLevel="0" collapsed="false">
      <c r="A21" s="1"/>
      <c r="B21" s="16" t="s">
        <v>39</v>
      </c>
      <c r="C21" s="17" t="b">
        <f aca="false">FALSE()</f>
        <v>0</v>
      </c>
      <c r="D21" s="17" t="b">
        <f aca="false">FALSE()</f>
        <v>0</v>
      </c>
      <c r="E21" s="17" t="b">
        <f aca="false">FALSE()</f>
        <v>0</v>
      </c>
      <c r="F21" s="17" t="b">
        <f aca="false">FALSE()</f>
        <v>0</v>
      </c>
      <c r="G21" s="17" t="b">
        <f aca="false">FALSE()</f>
        <v>0</v>
      </c>
      <c r="H21" s="17" t="b">
        <f aca="false">FALSE()</f>
        <v>0</v>
      </c>
      <c r="I21" s="17" t="b">
        <f aca="false">FALSE()</f>
        <v>0</v>
      </c>
      <c r="J21" s="17" t="b">
        <f aca="false">FALSE()</f>
        <v>0</v>
      </c>
      <c r="K21" s="17" t="b">
        <f aca="false">FALSE()</f>
        <v>0</v>
      </c>
      <c r="L21" s="17" t="b">
        <f aca="false">FALSE()</f>
        <v>0</v>
      </c>
      <c r="M21" s="17" t="b">
        <f aca="false">FALSE()</f>
        <v>0</v>
      </c>
      <c r="N21" s="17" t="b">
        <f aca="false">FALSE()</f>
        <v>0</v>
      </c>
      <c r="O21" s="17" t="b">
        <f aca="false">FALSE()</f>
        <v>0</v>
      </c>
      <c r="P21" s="17" t="b">
        <f aca="false">FALSE()</f>
        <v>0</v>
      </c>
      <c r="Q21" s="17" t="b">
        <f aca="false">FALSE()</f>
        <v>0</v>
      </c>
      <c r="R21" s="17" t="b">
        <f aca="false">FALSE()</f>
        <v>0</v>
      </c>
      <c r="S21" s="17" t="b">
        <f aca="false">FALSE()</f>
        <v>0</v>
      </c>
      <c r="T21" s="17" t="b">
        <f aca="false">FALSE()</f>
        <v>0</v>
      </c>
      <c r="U21" s="17" t="b">
        <f aca="false">FALSE()</f>
        <v>0</v>
      </c>
      <c r="V21" s="17" t="b">
        <f aca="false">FALSE()</f>
        <v>0</v>
      </c>
      <c r="W21" s="17" t="b">
        <f aca="false">FALSE()</f>
        <v>0</v>
      </c>
      <c r="X21" s="17" t="b">
        <f aca="false">FALSE()</f>
        <v>0</v>
      </c>
      <c r="Y21" s="17" t="b">
        <f aca="false">FALSE()</f>
        <v>0</v>
      </c>
      <c r="Z21" s="17" t="b">
        <f aca="false">FALSE()</f>
        <v>0</v>
      </c>
      <c r="AA21" s="17" t="b">
        <f aca="false">FALSE()</f>
        <v>0</v>
      </c>
      <c r="AB21" s="17" t="b">
        <f aca="false">FALSE()</f>
        <v>0</v>
      </c>
      <c r="AC21" s="17" t="b">
        <f aca="false">FALSE()</f>
        <v>0</v>
      </c>
      <c r="AD21" s="17" t="b">
        <f aca="false">FALSE()</f>
        <v>0</v>
      </c>
      <c r="AE21" s="17" t="b">
        <f aca="false">FALSE()</f>
        <v>0</v>
      </c>
      <c r="AF21" s="17" t="b">
        <f aca="false">FALSE()</f>
        <v>0</v>
      </c>
      <c r="AG21" s="17" t="b">
        <f aca="false">FALSE()</f>
        <v>0</v>
      </c>
      <c r="AH21" s="1"/>
      <c r="AI21" s="18" t="n">
        <f aca="false">IF($B21="","",$AP$3)</f>
        <v>31</v>
      </c>
      <c r="AJ21" s="18" t="n">
        <f aca="false">IF($B21="","",COUNTIF(C21:AG21,TRUE()))</f>
        <v>0</v>
      </c>
      <c r="AK21" s="18" t="n">
        <f aca="false">IF($B21="","",AI21-AJ21)</f>
        <v>31</v>
      </c>
      <c r="AL21" s="19" t="n">
        <f aca="false">IF($B21="","",AJ21/AI21)</f>
        <v>0</v>
      </c>
      <c r="AM21" s="20" t="n">
        <f aca="false">IF($B21="","",AJ21/AI21)</f>
        <v>0</v>
      </c>
      <c r="AN21" s="21" t="n">
        <f aca="false">IF($B21="",-1,AM21-ROW()/100000)</f>
        <v>-0.00021</v>
      </c>
      <c r="AO21" s="1"/>
    </row>
    <row r="22" customFormat="false" ht="18" hidden="false" customHeight="true" outlineLevel="0" collapsed="false">
      <c r="A22" s="1"/>
      <c r="B22" s="16" t="s">
        <v>40</v>
      </c>
      <c r="C22" s="17" t="b">
        <f aca="false">FALSE()</f>
        <v>0</v>
      </c>
      <c r="D22" s="17" t="b">
        <f aca="false">FALSE()</f>
        <v>0</v>
      </c>
      <c r="E22" s="17" t="b">
        <f aca="false">FALSE()</f>
        <v>0</v>
      </c>
      <c r="F22" s="17" t="b">
        <f aca="false">FALSE()</f>
        <v>0</v>
      </c>
      <c r="G22" s="17" t="b">
        <f aca="false">FALSE()</f>
        <v>0</v>
      </c>
      <c r="H22" s="17" t="b">
        <f aca="false">FALSE()</f>
        <v>0</v>
      </c>
      <c r="I22" s="17" t="b">
        <f aca="false">FALSE()</f>
        <v>0</v>
      </c>
      <c r="J22" s="17" t="b">
        <f aca="false">FALSE()</f>
        <v>0</v>
      </c>
      <c r="K22" s="17" t="b">
        <f aca="false">FALSE()</f>
        <v>0</v>
      </c>
      <c r="L22" s="17" t="b">
        <f aca="false">FALSE()</f>
        <v>0</v>
      </c>
      <c r="M22" s="17" t="b">
        <f aca="false">FALSE()</f>
        <v>0</v>
      </c>
      <c r="N22" s="17" t="b">
        <f aca="false">FALSE()</f>
        <v>0</v>
      </c>
      <c r="O22" s="17" t="b">
        <f aca="false">FALSE()</f>
        <v>0</v>
      </c>
      <c r="P22" s="17" t="b">
        <f aca="false">FALSE()</f>
        <v>0</v>
      </c>
      <c r="Q22" s="17" t="b">
        <f aca="false">FALSE()</f>
        <v>0</v>
      </c>
      <c r="R22" s="17" t="b">
        <f aca="false">FALSE()</f>
        <v>0</v>
      </c>
      <c r="S22" s="17" t="b">
        <f aca="false">FALSE()</f>
        <v>0</v>
      </c>
      <c r="T22" s="17" t="b">
        <f aca="false">FALSE()</f>
        <v>0</v>
      </c>
      <c r="U22" s="17" t="b">
        <f aca="false">FALSE()</f>
        <v>0</v>
      </c>
      <c r="V22" s="17" t="b">
        <f aca="false">FALSE()</f>
        <v>0</v>
      </c>
      <c r="W22" s="17" t="b">
        <f aca="false">FALSE()</f>
        <v>0</v>
      </c>
      <c r="X22" s="17" t="b">
        <f aca="false">FALSE()</f>
        <v>0</v>
      </c>
      <c r="Y22" s="17" t="b">
        <f aca="false">FALSE()</f>
        <v>0</v>
      </c>
      <c r="Z22" s="17" t="b">
        <f aca="false">FALSE()</f>
        <v>0</v>
      </c>
      <c r="AA22" s="17" t="b">
        <f aca="false">FALSE()</f>
        <v>0</v>
      </c>
      <c r="AB22" s="17" t="b">
        <f aca="false">FALSE()</f>
        <v>0</v>
      </c>
      <c r="AC22" s="17" t="b">
        <f aca="false">FALSE()</f>
        <v>0</v>
      </c>
      <c r="AD22" s="17" t="b">
        <f aca="false">FALSE()</f>
        <v>0</v>
      </c>
      <c r="AE22" s="17" t="b">
        <f aca="false">FALSE()</f>
        <v>0</v>
      </c>
      <c r="AF22" s="17" t="b">
        <f aca="false">FALSE()</f>
        <v>0</v>
      </c>
      <c r="AG22" s="17" t="b">
        <f aca="false">FALSE()</f>
        <v>0</v>
      </c>
      <c r="AH22" s="1"/>
      <c r="AI22" s="18" t="n">
        <f aca="false">IF($B22="","",$AP$3)</f>
        <v>31</v>
      </c>
      <c r="AJ22" s="18" t="n">
        <f aca="false">IF($B22="","",COUNTIF(C22:AG22,TRUE()))</f>
        <v>0</v>
      </c>
      <c r="AK22" s="18" t="n">
        <f aca="false">IF($B22="","",AI22-AJ22)</f>
        <v>31</v>
      </c>
      <c r="AL22" s="19" t="n">
        <f aca="false">IF($B22="","",AJ22/AI22)</f>
        <v>0</v>
      </c>
      <c r="AM22" s="20" t="n">
        <f aca="false">IF($B22="","",AJ22/AI22)</f>
        <v>0</v>
      </c>
      <c r="AN22" s="21" t="n">
        <f aca="false">IF($B22="",-1,AM22-ROW()/100000)</f>
        <v>-0.00022</v>
      </c>
      <c r="AO22" s="1"/>
    </row>
    <row r="23" customFormat="false" ht="18" hidden="false" customHeight="true" outlineLevel="0" collapsed="false">
      <c r="A23" s="1"/>
      <c r="B23" s="16" t="s">
        <v>41</v>
      </c>
      <c r="C23" s="17" t="b">
        <f aca="false">FALSE()</f>
        <v>0</v>
      </c>
      <c r="D23" s="17" t="b">
        <f aca="false">FALSE()</f>
        <v>0</v>
      </c>
      <c r="E23" s="17" t="b">
        <f aca="false">FALSE()</f>
        <v>0</v>
      </c>
      <c r="F23" s="17" t="b">
        <f aca="false">FALSE()</f>
        <v>0</v>
      </c>
      <c r="G23" s="17" t="b">
        <f aca="false">FALSE()</f>
        <v>0</v>
      </c>
      <c r="H23" s="17" t="b">
        <f aca="false">FALSE()</f>
        <v>0</v>
      </c>
      <c r="I23" s="17" t="b">
        <f aca="false">FALSE()</f>
        <v>0</v>
      </c>
      <c r="J23" s="17" t="b">
        <f aca="false">FALSE()</f>
        <v>0</v>
      </c>
      <c r="K23" s="17" t="b">
        <f aca="false">FALSE()</f>
        <v>0</v>
      </c>
      <c r="L23" s="17" t="b">
        <f aca="false">FALSE()</f>
        <v>0</v>
      </c>
      <c r="M23" s="17" t="b">
        <f aca="false">FALSE()</f>
        <v>0</v>
      </c>
      <c r="N23" s="17" t="b">
        <f aca="false">FALSE()</f>
        <v>0</v>
      </c>
      <c r="O23" s="17" t="b">
        <f aca="false">FALSE()</f>
        <v>0</v>
      </c>
      <c r="P23" s="17" t="b">
        <f aca="false">FALSE()</f>
        <v>0</v>
      </c>
      <c r="Q23" s="17" t="b">
        <f aca="false">FALSE()</f>
        <v>0</v>
      </c>
      <c r="R23" s="17" t="b">
        <f aca="false">FALSE()</f>
        <v>0</v>
      </c>
      <c r="S23" s="17" t="b">
        <f aca="false">FALSE()</f>
        <v>0</v>
      </c>
      <c r="T23" s="17" t="b">
        <f aca="false">FALSE()</f>
        <v>0</v>
      </c>
      <c r="U23" s="17" t="b">
        <f aca="false">FALSE()</f>
        <v>0</v>
      </c>
      <c r="V23" s="17" t="b">
        <f aca="false">FALSE()</f>
        <v>0</v>
      </c>
      <c r="W23" s="17" t="b">
        <f aca="false">FALSE()</f>
        <v>0</v>
      </c>
      <c r="X23" s="17" t="b">
        <f aca="false">FALSE()</f>
        <v>0</v>
      </c>
      <c r="Y23" s="17" t="b">
        <f aca="false">FALSE()</f>
        <v>0</v>
      </c>
      <c r="Z23" s="17" t="b">
        <f aca="false">FALSE()</f>
        <v>0</v>
      </c>
      <c r="AA23" s="17" t="b">
        <f aca="false">FALSE()</f>
        <v>0</v>
      </c>
      <c r="AB23" s="17" t="b">
        <f aca="false">FALSE()</f>
        <v>0</v>
      </c>
      <c r="AC23" s="17" t="b">
        <f aca="false">FALSE()</f>
        <v>0</v>
      </c>
      <c r="AD23" s="17" t="b">
        <f aca="false">FALSE()</f>
        <v>0</v>
      </c>
      <c r="AE23" s="17" t="b">
        <f aca="false">FALSE()</f>
        <v>0</v>
      </c>
      <c r="AF23" s="17" t="b">
        <f aca="false">FALSE()</f>
        <v>0</v>
      </c>
      <c r="AG23" s="17" t="b">
        <f aca="false">FALSE()</f>
        <v>0</v>
      </c>
      <c r="AH23" s="1"/>
      <c r="AI23" s="18" t="n">
        <f aca="false">IF($B23="","",$AP$3)</f>
        <v>31</v>
      </c>
      <c r="AJ23" s="18" t="n">
        <f aca="false">IF($B23="","",COUNTIF(C23:AG23,TRUE()))</f>
        <v>0</v>
      </c>
      <c r="AK23" s="18" t="n">
        <f aca="false">IF($B23="","",AI23-AJ23)</f>
        <v>31</v>
      </c>
      <c r="AL23" s="19" t="n">
        <f aca="false">IF($B23="","",AJ23/AI23)</f>
        <v>0</v>
      </c>
      <c r="AM23" s="20" t="n">
        <f aca="false">IF($B23="","",AJ23/AI23)</f>
        <v>0</v>
      </c>
      <c r="AN23" s="21" t="n">
        <f aca="false">IF($B23="",-1,AM23-ROW()/100000)</f>
        <v>-0.00023</v>
      </c>
      <c r="AO23" s="1"/>
    </row>
    <row r="24" customFormat="false" ht="18" hidden="false" customHeight="true" outlineLevel="0" collapsed="false">
      <c r="A24" s="1"/>
      <c r="B24" s="16" t="s">
        <v>42</v>
      </c>
      <c r="C24" s="17" t="b">
        <f aca="false">FALSE()</f>
        <v>0</v>
      </c>
      <c r="D24" s="17" t="b">
        <f aca="false">FALSE()</f>
        <v>0</v>
      </c>
      <c r="E24" s="17" t="b">
        <f aca="false">FALSE()</f>
        <v>0</v>
      </c>
      <c r="F24" s="17" t="b">
        <f aca="false">FALSE()</f>
        <v>0</v>
      </c>
      <c r="G24" s="17" t="b">
        <f aca="false">FALSE()</f>
        <v>0</v>
      </c>
      <c r="H24" s="17" t="b">
        <f aca="false">FALSE()</f>
        <v>0</v>
      </c>
      <c r="I24" s="17" t="b">
        <f aca="false">FALSE()</f>
        <v>0</v>
      </c>
      <c r="J24" s="17" t="b">
        <f aca="false">FALSE()</f>
        <v>0</v>
      </c>
      <c r="K24" s="17" t="b">
        <f aca="false">FALSE()</f>
        <v>0</v>
      </c>
      <c r="L24" s="17" t="b">
        <f aca="false">FALSE()</f>
        <v>0</v>
      </c>
      <c r="M24" s="17" t="b">
        <f aca="false">FALSE()</f>
        <v>0</v>
      </c>
      <c r="N24" s="17" t="b">
        <f aca="false">FALSE()</f>
        <v>0</v>
      </c>
      <c r="O24" s="17" t="b">
        <f aca="false">FALSE()</f>
        <v>0</v>
      </c>
      <c r="P24" s="17" t="b">
        <f aca="false">FALSE()</f>
        <v>0</v>
      </c>
      <c r="Q24" s="17" t="b">
        <f aca="false">FALSE()</f>
        <v>0</v>
      </c>
      <c r="R24" s="17" t="b">
        <f aca="false">FALSE()</f>
        <v>0</v>
      </c>
      <c r="S24" s="17" t="b">
        <f aca="false">FALSE()</f>
        <v>0</v>
      </c>
      <c r="T24" s="17" t="b">
        <f aca="false">FALSE()</f>
        <v>0</v>
      </c>
      <c r="U24" s="17" t="b">
        <f aca="false">FALSE()</f>
        <v>0</v>
      </c>
      <c r="V24" s="17" t="b">
        <f aca="false">FALSE()</f>
        <v>0</v>
      </c>
      <c r="W24" s="17" t="b">
        <f aca="false">FALSE()</f>
        <v>0</v>
      </c>
      <c r="X24" s="17" t="b">
        <f aca="false">FALSE()</f>
        <v>0</v>
      </c>
      <c r="Y24" s="17" t="b">
        <f aca="false">FALSE()</f>
        <v>0</v>
      </c>
      <c r="Z24" s="17" t="b">
        <f aca="false">FALSE()</f>
        <v>0</v>
      </c>
      <c r="AA24" s="17" t="b">
        <f aca="false">FALSE()</f>
        <v>0</v>
      </c>
      <c r="AB24" s="17" t="b">
        <f aca="false">FALSE()</f>
        <v>0</v>
      </c>
      <c r="AC24" s="17" t="b">
        <f aca="false">FALSE()</f>
        <v>0</v>
      </c>
      <c r="AD24" s="17" t="b">
        <f aca="false">FALSE()</f>
        <v>0</v>
      </c>
      <c r="AE24" s="17" t="b">
        <f aca="false">FALSE()</f>
        <v>0</v>
      </c>
      <c r="AF24" s="17" t="b">
        <f aca="false">FALSE()</f>
        <v>0</v>
      </c>
      <c r="AG24" s="17" t="b">
        <f aca="false">FALSE()</f>
        <v>0</v>
      </c>
      <c r="AH24" s="1"/>
      <c r="AI24" s="18" t="n">
        <f aca="false">IF($B24="","",$AP$3)</f>
        <v>31</v>
      </c>
      <c r="AJ24" s="18" t="n">
        <f aca="false">IF($B24="","",COUNTIF(C24:AG24,TRUE()))</f>
        <v>0</v>
      </c>
      <c r="AK24" s="18" t="n">
        <f aca="false">IF($B24="","",AI24-AJ24)</f>
        <v>31</v>
      </c>
      <c r="AL24" s="19" t="n">
        <f aca="false">IF($B24="","",AJ24/AI24)</f>
        <v>0</v>
      </c>
      <c r="AM24" s="20" t="n">
        <f aca="false">IF($B24="","",AJ24/AI24)</f>
        <v>0</v>
      </c>
      <c r="AN24" s="21" t="n">
        <f aca="false">IF($B24="",-1,AM24-ROW()/100000)</f>
        <v>-0.00024</v>
      </c>
      <c r="AO24" s="1"/>
    </row>
    <row r="25" customFormat="false" ht="18" hidden="false" customHeight="true" outlineLevel="0" collapsed="false">
      <c r="A25" s="1"/>
      <c r="B25" s="16" t="s">
        <v>43</v>
      </c>
      <c r="C25" s="17" t="b">
        <f aca="false">FALSE()</f>
        <v>0</v>
      </c>
      <c r="D25" s="17" t="b">
        <f aca="false">FALSE()</f>
        <v>0</v>
      </c>
      <c r="E25" s="17" t="b">
        <f aca="false">FALSE()</f>
        <v>0</v>
      </c>
      <c r="F25" s="17" t="b">
        <f aca="false">FALSE()</f>
        <v>0</v>
      </c>
      <c r="G25" s="17" t="b">
        <f aca="false">FALSE()</f>
        <v>0</v>
      </c>
      <c r="H25" s="17" t="b">
        <f aca="false">FALSE()</f>
        <v>0</v>
      </c>
      <c r="I25" s="17" t="b">
        <f aca="false">FALSE()</f>
        <v>0</v>
      </c>
      <c r="J25" s="17" t="b">
        <f aca="false">FALSE()</f>
        <v>0</v>
      </c>
      <c r="K25" s="17" t="b">
        <f aca="false">FALSE()</f>
        <v>0</v>
      </c>
      <c r="L25" s="17" t="b">
        <f aca="false">FALSE()</f>
        <v>0</v>
      </c>
      <c r="M25" s="17" t="b">
        <f aca="false">FALSE()</f>
        <v>0</v>
      </c>
      <c r="N25" s="17" t="b">
        <f aca="false">FALSE()</f>
        <v>0</v>
      </c>
      <c r="O25" s="17" t="b">
        <f aca="false">FALSE()</f>
        <v>0</v>
      </c>
      <c r="P25" s="17" t="b">
        <f aca="false">FALSE()</f>
        <v>0</v>
      </c>
      <c r="Q25" s="17" t="b">
        <f aca="false">FALSE()</f>
        <v>0</v>
      </c>
      <c r="R25" s="17" t="b">
        <f aca="false">FALSE()</f>
        <v>0</v>
      </c>
      <c r="S25" s="17" t="b">
        <f aca="false">FALSE()</f>
        <v>0</v>
      </c>
      <c r="T25" s="17" t="b">
        <f aca="false">FALSE()</f>
        <v>0</v>
      </c>
      <c r="U25" s="17" t="b">
        <f aca="false">FALSE()</f>
        <v>0</v>
      </c>
      <c r="V25" s="17" t="b">
        <f aca="false">FALSE()</f>
        <v>0</v>
      </c>
      <c r="W25" s="17" t="b">
        <f aca="false">FALSE()</f>
        <v>0</v>
      </c>
      <c r="X25" s="17" t="b">
        <f aca="false">FALSE()</f>
        <v>0</v>
      </c>
      <c r="Y25" s="17" t="b">
        <f aca="false">FALSE()</f>
        <v>0</v>
      </c>
      <c r="Z25" s="17" t="b">
        <f aca="false">FALSE()</f>
        <v>0</v>
      </c>
      <c r="AA25" s="17" t="b">
        <f aca="false">FALSE()</f>
        <v>0</v>
      </c>
      <c r="AB25" s="17" t="b">
        <f aca="false">FALSE()</f>
        <v>0</v>
      </c>
      <c r="AC25" s="17" t="b">
        <f aca="false">FALSE()</f>
        <v>0</v>
      </c>
      <c r="AD25" s="17" t="b">
        <f aca="false">FALSE()</f>
        <v>0</v>
      </c>
      <c r="AE25" s="17" t="b">
        <f aca="false">FALSE()</f>
        <v>0</v>
      </c>
      <c r="AF25" s="17" t="b">
        <f aca="false">FALSE()</f>
        <v>0</v>
      </c>
      <c r="AG25" s="17" t="b">
        <f aca="false">FALSE()</f>
        <v>0</v>
      </c>
      <c r="AH25" s="1"/>
      <c r="AI25" s="18" t="n">
        <f aca="false">IF($B25="","",$AP$3)</f>
        <v>31</v>
      </c>
      <c r="AJ25" s="18" t="n">
        <f aca="false">IF($B25="","",COUNTIF(C25:AG25,TRUE()))</f>
        <v>0</v>
      </c>
      <c r="AK25" s="18" t="n">
        <f aca="false">IF($B25="","",AI25-AJ25)</f>
        <v>31</v>
      </c>
      <c r="AL25" s="19" t="n">
        <f aca="false">IF($B25="","",AJ25/AI25)</f>
        <v>0</v>
      </c>
      <c r="AM25" s="20" t="n">
        <f aca="false">IF($B25="","",AJ25/AI25)</f>
        <v>0</v>
      </c>
      <c r="AN25" s="21" t="n">
        <f aca="false">IF($B25="",-1,AM25-ROW()/100000)</f>
        <v>-0.00025</v>
      </c>
      <c r="AO25" s="1"/>
    </row>
    <row r="26" customFormat="false" ht="18" hidden="false" customHeight="true" outlineLevel="0" collapsed="false">
      <c r="A26" s="1"/>
      <c r="B26" s="16" t="s">
        <v>44</v>
      </c>
      <c r="C26" s="17" t="b">
        <f aca="false">FALSE()</f>
        <v>0</v>
      </c>
      <c r="D26" s="17" t="b">
        <f aca="false">FALSE()</f>
        <v>0</v>
      </c>
      <c r="E26" s="17" t="b">
        <f aca="false">FALSE()</f>
        <v>0</v>
      </c>
      <c r="F26" s="17" t="b">
        <f aca="false">FALSE()</f>
        <v>0</v>
      </c>
      <c r="G26" s="17" t="b">
        <f aca="false">FALSE()</f>
        <v>0</v>
      </c>
      <c r="H26" s="17" t="b">
        <f aca="false">FALSE()</f>
        <v>0</v>
      </c>
      <c r="I26" s="17" t="b">
        <f aca="false">FALSE()</f>
        <v>0</v>
      </c>
      <c r="J26" s="17" t="b">
        <f aca="false">FALSE()</f>
        <v>0</v>
      </c>
      <c r="K26" s="17" t="b">
        <f aca="false">FALSE()</f>
        <v>0</v>
      </c>
      <c r="L26" s="17" t="b">
        <f aca="false">FALSE()</f>
        <v>0</v>
      </c>
      <c r="M26" s="17" t="b">
        <f aca="false">FALSE()</f>
        <v>0</v>
      </c>
      <c r="N26" s="17" t="b">
        <f aca="false">FALSE()</f>
        <v>0</v>
      </c>
      <c r="O26" s="17" t="b">
        <f aca="false">FALSE()</f>
        <v>0</v>
      </c>
      <c r="P26" s="17" t="b">
        <f aca="false">FALSE()</f>
        <v>0</v>
      </c>
      <c r="Q26" s="17" t="b">
        <f aca="false">FALSE()</f>
        <v>0</v>
      </c>
      <c r="R26" s="17" t="b">
        <f aca="false">FALSE()</f>
        <v>0</v>
      </c>
      <c r="S26" s="17" t="b">
        <f aca="false">FALSE()</f>
        <v>0</v>
      </c>
      <c r="T26" s="17" t="b">
        <f aca="false">FALSE()</f>
        <v>0</v>
      </c>
      <c r="U26" s="17" t="b">
        <f aca="false">FALSE()</f>
        <v>0</v>
      </c>
      <c r="V26" s="17" t="b">
        <f aca="false">FALSE()</f>
        <v>0</v>
      </c>
      <c r="W26" s="17" t="b">
        <f aca="false">FALSE()</f>
        <v>0</v>
      </c>
      <c r="X26" s="17" t="b">
        <f aca="false">FALSE()</f>
        <v>0</v>
      </c>
      <c r="Y26" s="17" t="b">
        <f aca="false">FALSE()</f>
        <v>0</v>
      </c>
      <c r="Z26" s="17" t="b">
        <f aca="false">FALSE()</f>
        <v>0</v>
      </c>
      <c r="AA26" s="17" t="b">
        <f aca="false">FALSE()</f>
        <v>0</v>
      </c>
      <c r="AB26" s="17" t="b">
        <f aca="false">FALSE()</f>
        <v>0</v>
      </c>
      <c r="AC26" s="17" t="b">
        <f aca="false">FALSE()</f>
        <v>0</v>
      </c>
      <c r="AD26" s="17" t="b">
        <f aca="false">FALSE()</f>
        <v>0</v>
      </c>
      <c r="AE26" s="17" t="b">
        <f aca="false">FALSE()</f>
        <v>0</v>
      </c>
      <c r="AF26" s="17" t="b">
        <f aca="false">FALSE()</f>
        <v>0</v>
      </c>
      <c r="AG26" s="17" t="b">
        <f aca="false">FALSE()</f>
        <v>0</v>
      </c>
      <c r="AH26" s="1"/>
      <c r="AI26" s="18" t="n">
        <f aca="false">IF($B26="","",$AP$3)</f>
        <v>31</v>
      </c>
      <c r="AJ26" s="18" t="n">
        <f aca="false">IF($B26="","",COUNTIF(C26:AG26,TRUE()))</f>
        <v>0</v>
      </c>
      <c r="AK26" s="18" t="n">
        <f aca="false">IF($B26="","",AI26-AJ26)</f>
        <v>31</v>
      </c>
      <c r="AL26" s="19" t="n">
        <f aca="false">IF($B26="","",AJ26/AI26)</f>
        <v>0</v>
      </c>
      <c r="AM26" s="20" t="n">
        <f aca="false">IF($B26="","",AJ26/AI26)</f>
        <v>0</v>
      </c>
      <c r="AN26" s="21" t="n">
        <f aca="false">IF($B26="",-1,AM26-ROW()/100000)</f>
        <v>-0.00026</v>
      </c>
      <c r="AO26" s="1"/>
    </row>
    <row r="27" customFormat="false" ht="18" hidden="false" customHeight="true" outlineLevel="0" collapsed="false">
      <c r="A27" s="1"/>
      <c r="B27" s="16"/>
      <c r="C27" s="17" t="b">
        <f aca="false">FALSE()</f>
        <v>0</v>
      </c>
      <c r="D27" s="17" t="b">
        <f aca="false">FALSE()</f>
        <v>0</v>
      </c>
      <c r="E27" s="17" t="b">
        <f aca="false">FALSE()</f>
        <v>0</v>
      </c>
      <c r="F27" s="17" t="b">
        <f aca="false">FALSE()</f>
        <v>0</v>
      </c>
      <c r="G27" s="17" t="b">
        <f aca="false">FALSE()</f>
        <v>0</v>
      </c>
      <c r="H27" s="17" t="b">
        <f aca="false">FALSE()</f>
        <v>0</v>
      </c>
      <c r="I27" s="17" t="b">
        <f aca="false">FALSE()</f>
        <v>0</v>
      </c>
      <c r="J27" s="17" t="b">
        <f aca="false">FALSE()</f>
        <v>0</v>
      </c>
      <c r="K27" s="17" t="b">
        <f aca="false">FALSE()</f>
        <v>0</v>
      </c>
      <c r="L27" s="17" t="b">
        <f aca="false">FALSE()</f>
        <v>0</v>
      </c>
      <c r="M27" s="17" t="b">
        <f aca="false">FALSE()</f>
        <v>0</v>
      </c>
      <c r="N27" s="17" t="b">
        <f aca="false">FALSE()</f>
        <v>0</v>
      </c>
      <c r="O27" s="17" t="b">
        <f aca="false">FALSE()</f>
        <v>0</v>
      </c>
      <c r="P27" s="17" t="b">
        <f aca="false">FALSE()</f>
        <v>0</v>
      </c>
      <c r="Q27" s="17" t="b">
        <f aca="false">FALSE()</f>
        <v>0</v>
      </c>
      <c r="R27" s="17" t="b">
        <f aca="false">FALSE()</f>
        <v>0</v>
      </c>
      <c r="S27" s="17" t="b">
        <f aca="false">FALSE()</f>
        <v>0</v>
      </c>
      <c r="T27" s="17" t="b">
        <f aca="false">FALSE()</f>
        <v>0</v>
      </c>
      <c r="U27" s="17" t="b">
        <f aca="false">FALSE()</f>
        <v>0</v>
      </c>
      <c r="V27" s="17" t="b">
        <f aca="false">FALSE()</f>
        <v>0</v>
      </c>
      <c r="W27" s="17" t="b">
        <f aca="false">FALSE()</f>
        <v>0</v>
      </c>
      <c r="X27" s="17" t="b">
        <f aca="false">FALSE()</f>
        <v>0</v>
      </c>
      <c r="Y27" s="17" t="b">
        <f aca="false">FALSE()</f>
        <v>0</v>
      </c>
      <c r="Z27" s="17" t="b">
        <f aca="false">FALSE()</f>
        <v>0</v>
      </c>
      <c r="AA27" s="17" t="b">
        <f aca="false">FALSE()</f>
        <v>0</v>
      </c>
      <c r="AB27" s="17" t="b">
        <f aca="false">FALSE()</f>
        <v>0</v>
      </c>
      <c r="AC27" s="17" t="b">
        <f aca="false">FALSE()</f>
        <v>0</v>
      </c>
      <c r="AD27" s="17" t="b">
        <f aca="false">FALSE()</f>
        <v>0</v>
      </c>
      <c r="AE27" s="17" t="b">
        <f aca="false">FALSE()</f>
        <v>0</v>
      </c>
      <c r="AF27" s="17" t="b">
        <f aca="false">FALSE()</f>
        <v>0</v>
      </c>
      <c r="AG27" s="17" t="b">
        <f aca="false">FALSE()</f>
        <v>0</v>
      </c>
      <c r="AH27" s="1"/>
      <c r="AI27" s="18" t="str">
        <f aca="false">IF($B27="","",$AP$3)</f>
        <v/>
      </c>
      <c r="AJ27" s="18" t="str">
        <f aca="false">IF($B27="","",COUNTIF(C27:AG27,TRUE()))</f>
        <v/>
      </c>
      <c r="AK27" s="18" t="str">
        <f aca="false">IF($B27="","",AI27-AJ27)</f>
        <v/>
      </c>
      <c r="AL27" s="19" t="str">
        <f aca="false">IF($B27="","",AJ27/AI27)</f>
        <v/>
      </c>
      <c r="AM27" s="20" t="str">
        <f aca="false">IF($B27="","",AJ27/AI27)</f>
        <v/>
      </c>
      <c r="AN27" s="1" t="n">
        <f aca="false">IF($B27="",-1,AM27-ROW()/100000)</f>
        <v>-1</v>
      </c>
      <c r="AO27" s="1"/>
    </row>
    <row r="28" customFormat="false" ht="18" hidden="false" customHeight="true" outlineLevel="0" collapsed="false">
      <c r="A28" s="1"/>
      <c r="B28" s="16"/>
      <c r="C28" s="17" t="b">
        <f aca="false">FALSE()</f>
        <v>0</v>
      </c>
      <c r="D28" s="17" t="b">
        <f aca="false">FALSE()</f>
        <v>0</v>
      </c>
      <c r="E28" s="17" t="b">
        <f aca="false">FALSE()</f>
        <v>0</v>
      </c>
      <c r="F28" s="17" t="b">
        <f aca="false">FALSE()</f>
        <v>0</v>
      </c>
      <c r="G28" s="17" t="b">
        <f aca="false">FALSE()</f>
        <v>0</v>
      </c>
      <c r="H28" s="17" t="b">
        <f aca="false">FALSE()</f>
        <v>0</v>
      </c>
      <c r="I28" s="17" t="b">
        <f aca="false">FALSE()</f>
        <v>0</v>
      </c>
      <c r="J28" s="17" t="b">
        <f aca="false">FALSE()</f>
        <v>0</v>
      </c>
      <c r="K28" s="17" t="b">
        <f aca="false">FALSE()</f>
        <v>0</v>
      </c>
      <c r="L28" s="17" t="b">
        <f aca="false">FALSE()</f>
        <v>0</v>
      </c>
      <c r="M28" s="17" t="b">
        <f aca="false">FALSE()</f>
        <v>0</v>
      </c>
      <c r="N28" s="17" t="b">
        <f aca="false">FALSE()</f>
        <v>0</v>
      </c>
      <c r="O28" s="17" t="b">
        <f aca="false">FALSE()</f>
        <v>0</v>
      </c>
      <c r="P28" s="17" t="b">
        <f aca="false">FALSE()</f>
        <v>0</v>
      </c>
      <c r="Q28" s="17" t="b">
        <f aca="false">FALSE()</f>
        <v>0</v>
      </c>
      <c r="R28" s="17" t="b">
        <f aca="false">FALSE()</f>
        <v>0</v>
      </c>
      <c r="S28" s="17" t="b">
        <f aca="false">FALSE()</f>
        <v>0</v>
      </c>
      <c r="T28" s="17" t="b">
        <f aca="false">FALSE()</f>
        <v>0</v>
      </c>
      <c r="U28" s="17" t="b">
        <f aca="false">FALSE()</f>
        <v>0</v>
      </c>
      <c r="V28" s="17" t="b">
        <f aca="false">FALSE()</f>
        <v>0</v>
      </c>
      <c r="W28" s="17" t="b">
        <f aca="false">FALSE()</f>
        <v>0</v>
      </c>
      <c r="X28" s="17" t="b">
        <f aca="false">FALSE()</f>
        <v>0</v>
      </c>
      <c r="Y28" s="17" t="b">
        <f aca="false">FALSE()</f>
        <v>0</v>
      </c>
      <c r="Z28" s="17" t="b">
        <f aca="false">FALSE()</f>
        <v>0</v>
      </c>
      <c r="AA28" s="17" t="b">
        <f aca="false">FALSE()</f>
        <v>0</v>
      </c>
      <c r="AB28" s="17" t="b">
        <f aca="false">FALSE()</f>
        <v>0</v>
      </c>
      <c r="AC28" s="17" t="b">
        <f aca="false">FALSE()</f>
        <v>0</v>
      </c>
      <c r="AD28" s="17" t="b">
        <f aca="false">FALSE()</f>
        <v>0</v>
      </c>
      <c r="AE28" s="17" t="b">
        <f aca="false">FALSE()</f>
        <v>0</v>
      </c>
      <c r="AF28" s="17" t="b">
        <f aca="false">FALSE()</f>
        <v>0</v>
      </c>
      <c r="AG28" s="17" t="b">
        <f aca="false">FALSE()</f>
        <v>0</v>
      </c>
      <c r="AH28" s="1"/>
      <c r="AI28" s="18" t="str">
        <f aca="false">IF($B28="","",$AP$3)</f>
        <v/>
      </c>
      <c r="AJ28" s="18" t="str">
        <f aca="false">IF($B28="","",COUNTIF(C28:AG28,TRUE()))</f>
        <v/>
      </c>
      <c r="AK28" s="18" t="str">
        <f aca="false">IF($B28="","",AI28-AJ28)</f>
        <v/>
      </c>
      <c r="AL28" s="19" t="str">
        <f aca="false">IF($B28="","",AJ28/AI28)</f>
        <v/>
      </c>
      <c r="AM28" s="20" t="str">
        <f aca="false">IF($B28="","",AJ28/AI28)</f>
        <v/>
      </c>
      <c r="AN28" s="1" t="n">
        <f aca="false">IF($B28="",-1,AM28-ROW()/100000)</f>
        <v>-1</v>
      </c>
      <c r="AO28" s="1"/>
    </row>
    <row r="29" customFormat="false" ht="15" hidden="false" customHeight="false" outlineLevel="0" collapsed="false">
      <c r="A29" s="1"/>
      <c r="B29" s="22" t="s">
        <v>45</v>
      </c>
      <c r="C29" s="23" t="n">
        <f aca="false">IF(OR(C$16="",SUMPRODUCT(--(LEN($B$17:$B$28)&gt;0))=0),"",SUMPRODUCT(($B$17:$B$28&lt;&gt;"")*(C$17:C$28=TRUE()))/SUMPRODUCT(--(LEN($B$17:$B$28)&gt;0)))</f>
        <v>0</v>
      </c>
      <c r="D29" s="23" t="n">
        <f aca="false">IF(OR(D$16="",SUMPRODUCT(--(LEN($B$17:$B$28)&gt;0))=0),"",SUMPRODUCT(($B$17:$B$28&lt;&gt;"")*(D$17:D$28=TRUE()))/SUMPRODUCT(--(LEN($B$17:$B$28)&gt;0)))</f>
        <v>0</v>
      </c>
      <c r="E29" s="23" t="n">
        <f aca="false">IF(OR(E$16="",SUMPRODUCT(--(LEN($B$17:$B$28)&gt;0))=0),"",SUMPRODUCT(($B$17:$B$28&lt;&gt;"")*(E$17:E$28=TRUE()))/SUMPRODUCT(--(LEN($B$17:$B$28)&gt;0)))</f>
        <v>0</v>
      </c>
      <c r="F29" s="23" t="n">
        <f aca="false">IF(OR(F$16="",SUMPRODUCT(--(LEN($B$17:$B$28)&gt;0))=0),"",SUMPRODUCT(($B$17:$B$28&lt;&gt;"")*(F$17:F$28=TRUE()))/SUMPRODUCT(--(LEN($B$17:$B$28)&gt;0)))</f>
        <v>0</v>
      </c>
      <c r="G29" s="23" t="n">
        <f aca="false">IF(OR(G$16="",SUMPRODUCT(--(LEN($B$17:$B$28)&gt;0))=0),"",SUMPRODUCT(($B$17:$B$28&lt;&gt;"")*(G$17:G$28=TRUE()))/SUMPRODUCT(--(LEN($B$17:$B$28)&gt;0)))</f>
        <v>0</v>
      </c>
      <c r="H29" s="23" t="n">
        <f aca="false">IF(OR(H$16="",SUMPRODUCT(--(LEN($B$17:$B$28)&gt;0))=0),"",SUMPRODUCT(($B$17:$B$28&lt;&gt;"")*(H$17:H$28=TRUE()))/SUMPRODUCT(--(LEN($B$17:$B$28)&gt;0)))</f>
        <v>0</v>
      </c>
      <c r="I29" s="23" t="n">
        <f aca="false">IF(OR(I$16="",SUMPRODUCT(--(LEN($B$17:$B$28)&gt;0))=0),"",SUMPRODUCT(($B$17:$B$28&lt;&gt;"")*(I$17:I$28=TRUE()))/SUMPRODUCT(--(LEN($B$17:$B$28)&gt;0)))</f>
        <v>0</v>
      </c>
      <c r="J29" s="23" t="n">
        <f aca="false">IF(OR(J$16="",SUMPRODUCT(--(LEN($B$17:$B$28)&gt;0))=0),"",SUMPRODUCT(($B$17:$B$28&lt;&gt;"")*(J$17:J$28=TRUE()))/SUMPRODUCT(--(LEN($B$17:$B$28)&gt;0)))</f>
        <v>0</v>
      </c>
      <c r="K29" s="23" t="n">
        <f aca="false">IF(OR(K$16="",SUMPRODUCT(--(LEN($B$17:$B$28)&gt;0))=0),"",SUMPRODUCT(($B$17:$B$28&lt;&gt;"")*(K$17:K$28=TRUE()))/SUMPRODUCT(--(LEN($B$17:$B$28)&gt;0)))</f>
        <v>0</v>
      </c>
      <c r="L29" s="23" t="n">
        <f aca="false">IF(OR(L$16="",SUMPRODUCT(--(LEN($B$17:$B$28)&gt;0))=0),"",SUMPRODUCT(($B$17:$B$28&lt;&gt;"")*(L$17:L$28=TRUE()))/SUMPRODUCT(--(LEN($B$17:$B$28)&gt;0)))</f>
        <v>0</v>
      </c>
      <c r="M29" s="23" t="n">
        <f aca="false">IF(OR(M$16="",SUMPRODUCT(--(LEN($B$17:$B$28)&gt;0))=0),"",SUMPRODUCT(($B$17:$B$28&lt;&gt;"")*(M$17:M$28=TRUE()))/SUMPRODUCT(--(LEN($B$17:$B$28)&gt;0)))</f>
        <v>0</v>
      </c>
      <c r="N29" s="23" t="n">
        <f aca="false">IF(OR(N$16="",SUMPRODUCT(--(LEN($B$17:$B$28)&gt;0))=0),"",SUMPRODUCT(($B$17:$B$28&lt;&gt;"")*(N$17:N$28=TRUE()))/SUMPRODUCT(--(LEN($B$17:$B$28)&gt;0)))</f>
        <v>0</v>
      </c>
      <c r="O29" s="23" t="n">
        <f aca="false">IF(OR(O$16="",SUMPRODUCT(--(LEN($B$17:$B$28)&gt;0))=0),"",SUMPRODUCT(($B$17:$B$28&lt;&gt;"")*(O$17:O$28=TRUE()))/SUMPRODUCT(--(LEN($B$17:$B$28)&gt;0)))</f>
        <v>0</v>
      </c>
      <c r="P29" s="23" t="n">
        <f aca="false">IF(OR(P$16="",SUMPRODUCT(--(LEN($B$17:$B$28)&gt;0))=0),"",SUMPRODUCT(($B$17:$B$28&lt;&gt;"")*(P$17:P$28=TRUE()))/SUMPRODUCT(--(LEN($B$17:$B$28)&gt;0)))</f>
        <v>0</v>
      </c>
      <c r="Q29" s="23" t="n">
        <f aca="false">IF(OR(Q$16="",SUMPRODUCT(--(LEN($B$17:$B$28)&gt;0))=0),"",SUMPRODUCT(($B$17:$B$28&lt;&gt;"")*(Q$17:Q$28=TRUE()))/SUMPRODUCT(--(LEN($B$17:$B$28)&gt;0)))</f>
        <v>0</v>
      </c>
      <c r="R29" s="23" t="n">
        <f aca="false">IF(OR(R$16="",SUMPRODUCT(--(LEN($B$17:$B$28)&gt;0))=0),"",SUMPRODUCT(($B$17:$B$28&lt;&gt;"")*(R$17:R$28=TRUE()))/SUMPRODUCT(--(LEN($B$17:$B$28)&gt;0)))</f>
        <v>0</v>
      </c>
      <c r="S29" s="23" t="n">
        <f aca="false">IF(OR(S$16="",SUMPRODUCT(--(LEN($B$17:$B$28)&gt;0))=0),"",SUMPRODUCT(($B$17:$B$28&lt;&gt;"")*(S$17:S$28=TRUE()))/SUMPRODUCT(--(LEN($B$17:$B$28)&gt;0)))</f>
        <v>0</v>
      </c>
      <c r="T29" s="23" t="n">
        <f aca="false">IF(OR(T$16="",SUMPRODUCT(--(LEN($B$17:$B$28)&gt;0))=0),"",SUMPRODUCT(($B$17:$B$28&lt;&gt;"")*(T$17:T$28=TRUE()))/SUMPRODUCT(--(LEN($B$17:$B$28)&gt;0)))</f>
        <v>0</v>
      </c>
      <c r="U29" s="23" t="n">
        <f aca="false">IF(OR(U$16="",SUMPRODUCT(--(LEN($B$17:$B$28)&gt;0))=0),"",SUMPRODUCT(($B$17:$B$28&lt;&gt;"")*(U$17:U$28=TRUE()))/SUMPRODUCT(--(LEN($B$17:$B$28)&gt;0)))</f>
        <v>0</v>
      </c>
      <c r="V29" s="23" t="n">
        <f aca="false">IF(OR(V$16="",SUMPRODUCT(--(LEN($B$17:$B$28)&gt;0))=0),"",SUMPRODUCT(($B$17:$B$28&lt;&gt;"")*(V$17:V$28=TRUE()))/SUMPRODUCT(--(LEN($B$17:$B$28)&gt;0)))</f>
        <v>0</v>
      </c>
      <c r="W29" s="23" t="n">
        <f aca="false">IF(OR(W$16="",SUMPRODUCT(--(LEN($B$17:$B$28)&gt;0))=0),"",SUMPRODUCT(($B$17:$B$28&lt;&gt;"")*(W$17:W$28=TRUE()))/SUMPRODUCT(--(LEN($B$17:$B$28)&gt;0)))</f>
        <v>0</v>
      </c>
      <c r="X29" s="23" t="n">
        <f aca="false">IF(OR(X$16="",SUMPRODUCT(--(LEN($B$17:$B$28)&gt;0))=0),"",SUMPRODUCT(($B$17:$B$28&lt;&gt;"")*(X$17:X$28=TRUE()))/SUMPRODUCT(--(LEN($B$17:$B$28)&gt;0)))</f>
        <v>0</v>
      </c>
      <c r="Y29" s="23" t="n">
        <f aca="false">IF(OR(Y$16="",SUMPRODUCT(--(LEN($B$17:$B$28)&gt;0))=0),"",SUMPRODUCT(($B$17:$B$28&lt;&gt;"")*(Y$17:Y$28=TRUE()))/SUMPRODUCT(--(LEN($B$17:$B$28)&gt;0)))</f>
        <v>0</v>
      </c>
      <c r="Z29" s="23" t="n">
        <f aca="false">IF(OR(Z$16="",SUMPRODUCT(--(LEN($B$17:$B$28)&gt;0))=0),"",SUMPRODUCT(($B$17:$B$28&lt;&gt;"")*(Z$17:Z$28=TRUE()))/SUMPRODUCT(--(LEN($B$17:$B$28)&gt;0)))</f>
        <v>0</v>
      </c>
      <c r="AA29" s="23" t="n">
        <f aca="false">IF(OR(AA$16="",SUMPRODUCT(--(LEN($B$17:$B$28)&gt;0))=0),"",SUMPRODUCT(($B$17:$B$28&lt;&gt;"")*(AA$17:AA$28=TRUE()))/SUMPRODUCT(--(LEN($B$17:$B$28)&gt;0)))</f>
        <v>0</v>
      </c>
      <c r="AB29" s="23" t="n">
        <f aca="false">IF(OR(AB$16="",SUMPRODUCT(--(LEN($B$17:$B$28)&gt;0))=0),"",SUMPRODUCT(($B$17:$B$28&lt;&gt;"")*(AB$17:AB$28=TRUE()))/SUMPRODUCT(--(LEN($B$17:$B$28)&gt;0)))</f>
        <v>0</v>
      </c>
      <c r="AC29" s="23" t="n">
        <f aca="false">IF(OR(AC$16="",SUMPRODUCT(--(LEN($B$17:$B$28)&gt;0))=0),"",SUMPRODUCT(($B$17:$B$28&lt;&gt;"")*(AC$17:AC$28=TRUE()))/SUMPRODUCT(--(LEN($B$17:$B$28)&gt;0)))</f>
        <v>0</v>
      </c>
      <c r="AD29" s="23" t="n">
        <f aca="false">IF(OR(AD$16="",SUMPRODUCT(--(LEN($B$17:$B$28)&gt;0))=0),"",SUMPRODUCT(($B$17:$B$28&lt;&gt;"")*(AD$17:AD$28=TRUE()))/SUMPRODUCT(--(LEN($B$17:$B$28)&gt;0)))</f>
        <v>0</v>
      </c>
      <c r="AE29" s="23" t="n">
        <f aca="false">IF(OR(AE$16="",SUMPRODUCT(--(LEN($B$17:$B$28)&gt;0))=0),"",SUMPRODUCT(($B$17:$B$28&lt;&gt;"")*(AE$17:AE$28=TRUE()))/SUMPRODUCT(--(LEN($B$17:$B$28)&gt;0)))</f>
        <v>0</v>
      </c>
      <c r="AF29" s="23" t="n">
        <f aca="false">IF(OR(AF$16="",SUMPRODUCT(--(LEN($B$17:$B$28)&gt;0))=0),"",SUMPRODUCT(($B$17:$B$28&lt;&gt;"")*(AF$17:AF$28=TRUE()))/SUMPRODUCT(--(LEN($B$17:$B$28)&gt;0)))</f>
        <v>0</v>
      </c>
      <c r="AG29" s="23" t="n">
        <f aca="false">IF(OR(AG$16="",SUMPRODUCT(--(LEN($B$17:$B$28)&gt;0))=0),"",SUMPRODUCT(($B$17:$B$28&lt;&gt;"")*(AG$17:AG$28=TRUE()))/SUMPRODUCT(--(LEN($B$17:$B$28)&gt;0)))</f>
        <v>0</v>
      </c>
      <c r="AH29" s="1"/>
      <c r="AI29" s="1"/>
      <c r="AJ29" s="1"/>
      <c r="AK29" s="1"/>
      <c r="AL29" s="1"/>
      <c r="AM29" s="1"/>
      <c r="AN29" s="1"/>
      <c r="AO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</row>
    <row r="31" customFormat="false" ht="15" hidden="false" customHeight="false" outlineLevel="0" collapsed="false">
      <c r="A31" s="1"/>
      <c r="B31" s="24"/>
      <c r="C31" s="12" t="s">
        <v>46</v>
      </c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"/>
      <c r="AI31" s="25" t="s">
        <v>47</v>
      </c>
      <c r="AJ31" s="25"/>
      <c r="AK31" s="25"/>
      <c r="AL31" s="25"/>
      <c r="AM31" s="25"/>
      <c r="AN31" s="1"/>
      <c r="AO31" s="1"/>
    </row>
    <row r="32" customFormat="false" ht="15.75" hidden="false" customHeight="true" outlineLevel="0" collapsed="false">
      <c r="A32" s="1"/>
      <c r="B32" s="7" t="s">
        <v>48</v>
      </c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1"/>
      <c r="AI32" s="27" t="n">
        <v>1</v>
      </c>
      <c r="AJ32" s="28" t="str">
        <f aca="false">IF(LARGE($AN$17:$AN$28,1)&lt;0,"",INDEX($B$17:$B$28,MATCH(LARGE($AN$17:$AN$28,1),$AN$17:$AN$28,0)))</f>
        <v/>
      </c>
      <c r="AK32" s="28"/>
      <c r="AL32" s="28"/>
      <c r="AM32" s="29" t="str">
        <f aca="false">IF(AJ32="","",INDEX($AM$17:$AM$28,MATCH(LARGE($AN$17:$AN$28,1),$AN$17:$AN$28,0)))</f>
        <v/>
      </c>
      <c r="AN32" s="1"/>
      <c r="AO32" s="1"/>
    </row>
    <row r="33" customFormat="false" ht="15.75" hidden="false" customHeight="true" outlineLevel="0" collapsed="false">
      <c r="A33" s="1"/>
      <c r="B33" s="7" t="s">
        <v>49</v>
      </c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1"/>
      <c r="AI33" s="27" t="n">
        <v>2</v>
      </c>
      <c r="AJ33" s="28" t="str">
        <f aca="false">IF(LARGE($AN$17:$AN$28,2)&lt;0,"",INDEX($B$17:$B$28,MATCH(LARGE($AN$17:$AN$28,2),$AN$17:$AN$28,0)))</f>
        <v/>
      </c>
      <c r="AK33" s="28"/>
      <c r="AL33" s="28"/>
      <c r="AM33" s="29" t="str">
        <f aca="false">IF(AJ33="","",INDEX($AM$17:$AM$28,MATCH(LARGE($AN$17:$AN$28,2),$AN$17:$AN$28,0)))</f>
        <v/>
      </c>
      <c r="AN33" s="1"/>
      <c r="AO33" s="1"/>
    </row>
    <row r="34" customFormat="false" ht="15.75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27" t="n">
        <v>3</v>
      </c>
      <c r="AJ34" s="28" t="str">
        <f aca="false">IF(LARGE($AN$17:$AN$28,3)&lt;0,"",INDEX($B$17:$B$28,MATCH(LARGE($AN$17:$AN$28,3),$AN$17:$AN$28,0)))</f>
        <v/>
      </c>
      <c r="AK34" s="28"/>
      <c r="AL34" s="28"/>
      <c r="AM34" s="29" t="str">
        <f aca="false">IF(AJ34="","",INDEX($AM$17:$AM$28,MATCH(LARGE($AN$17:$AN$28,3),$AN$17:$AN$28,0)))</f>
        <v/>
      </c>
      <c r="AN34" s="1"/>
      <c r="AO34" s="1"/>
    </row>
    <row r="35" customFormat="false" ht="15.75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27" t="n">
        <v>4</v>
      </c>
      <c r="AJ35" s="28" t="str">
        <f aca="false">IF(LARGE($AN$17:$AN$28,4)&lt;0,"",INDEX($B$17:$B$28,MATCH(LARGE($AN$17:$AN$28,4),$AN$17:$AN$28,0)))</f>
        <v/>
      </c>
      <c r="AK35" s="28"/>
      <c r="AL35" s="28"/>
      <c r="AM35" s="29" t="str">
        <f aca="false">IF(AJ35="","",INDEX($AM$17:$AM$28,MATCH(LARGE($AN$17:$AN$28,4),$AN$17:$AN$28,0)))</f>
        <v/>
      </c>
      <c r="AN35" s="1"/>
      <c r="AO35" s="1"/>
    </row>
    <row r="36" customFormat="false" ht="15.75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27" t="n">
        <v>5</v>
      </c>
      <c r="AJ36" s="28" t="str">
        <f aca="false">IF(LARGE($AN$17:$AN$28,5)&lt;0,"",INDEX($B$17:$B$28,MATCH(LARGE($AN$17:$AN$28,5),$AN$17:$AN$28,0)))</f>
        <v/>
      </c>
      <c r="AK36" s="28"/>
      <c r="AL36" s="28"/>
      <c r="AM36" s="29" t="str">
        <f aca="false">IF(AJ36="","",INDEX($AM$17:$AM$28,MATCH(LARGE($AN$17:$AN$28,5),$AN$17:$AN$28,0)))</f>
        <v/>
      </c>
      <c r="AN36" s="1"/>
      <c r="AO36" s="1"/>
    </row>
    <row r="37" customFormat="false" ht="15.75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27" t="n">
        <v>6</v>
      </c>
      <c r="AJ37" s="28" t="str">
        <f aca="false">IF(LARGE($AN$17:$AN$28,6)&lt;0,"",INDEX($B$17:$B$28,MATCH(LARGE($AN$17:$AN$28,6),$AN$17:$AN$28,0)))</f>
        <v/>
      </c>
      <c r="AK37" s="28"/>
      <c r="AL37" s="28"/>
      <c r="AM37" s="29" t="str">
        <f aca="false">IF(AJ37="","",INDEX($AM$17:$AM$28,MATCH(LARGE($AN$17:$AN$28,6),$AN$17:$AN$28,0)))</f>
        <v/>
      </c>
      <c r="AN37" s="1"/>
      <c r="AO37" s="1"/>
    </row>
    <row r="38" customFormat="false" ht="15.75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27" t="n">
        <v>7</v>
      </c>
      <c r="AJ38" s="28" t="str">
        <f aca="false">IF(LARGE($AN$17:$AN$28,7)&lt;0,"",INDEX($B$17:$B$28,MATCH(LARGE($AN$17:$AN$28,7),$AN$17:$AN$28,0)))</f>
        <v/>
      </c>
      <c r="AK38" s="28"/>
      <c r="AL38" s="28"/>
      <c r="AM38" s="29" t="str">
        <f aca="false">IF(AJ38="","",INDEX($AM$17:$AM$28,MATCH(LARGE($AN$17:$AN$28,7),$AN$17:$AN$28,0)))</f>
        <v/>
      </c>
      <c r="AN38" s="1"/>
      <c r="AO38" s="1"/>
    </row>
    <row r="39" customFormat="false" ht="15.75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27" t="n">
        <v>8</v>
      </c>
      <c r="AJ39" s="28" t="str">
        <f aca="false">IF(LARGE($AN$17:$AN$28,8)&lt;0,"",INDEX($B$17:$B$28,MATCH(LARGE($AN$17:$AN$28,8),$AN$17:$AN$28,0)))</f>
        <v/>
      </c>
      <c r="AK39" s="28"/>
      <c r="AL39" s="28"/>
      <c r="AM39" s="29" t="str">
        <f aca="false">IF(AJ39="","",INDEX($AM$17:$AM$28,MATCH(LARGE($AN$17:$AN$28,8),$AN$17:$AN$28,0)))</f>
        <v/>
      </c>
      <c r="AN39" s="1"/>
      <c r="AO39" s="1"/>
    </row>
    <row r="40" customFormat="false" ht="15.75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27" t="n">
        <v>9</v>
      </c>
      <c r="AJ40" s="28" t="str">
        <f aca="false">IF(LARGE($AN$17:$AN$28,9)&lt;0,"",INDEX($B$17:$B$28,MATCH(LARGE($AN$17:$AN$28,9),$AN$17:$AN$28,0)))</f>
        <v/>
      </c>
      <c r="AK40" s="28"/>
      <c r="AL40" s="28"/>
      <c r="AM40" s="29" t="str">
        <f aca="false">IF(AJ40="","",INDEX($AM$17:$AM$28,MATCH(LARGE($AN$17:$AN$28,9),$AN$17:$AN$28,0)))</f>
        <v/>
      </c>
      <c r="AN40" s="1"/>
      <c r="AO40" s="1"/>
    </row>
    <row r="41" customFormat="false" ht="15.75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27" t="n">
        <v>10</v>
      </c>
      <c r="AJ41" s="28" t="str">
        <f aca="false">IF(LARGE($AN$17:$AN$28,10)&lt;0,"",INDEX($B$17:$B$28,MATCH(LARGE($AN$17:$AN$28,10),$AN$17:$AN$28,0)))</f>
        <v/>
      </c>
      <c r="AK41" s="28"/>
      <c r="AL41" s="28"/>
      <c r="AM41" s="29" t="str">
        <f aca="false">IF(AJ41="","",INDEX($AM$17:$AM$28,MATCH(LARGE($AN$17:$AN$28,10),$AN$17:$AN$28,0)))</f>
        <v/>
      </c>
      <c r="AN41" s="1"/>
      <c r="AO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</row>
    <row r="48" customFormat="false" ht="15" hidden="true" customHeight="false" outlineLevel="0" collapsed="false">
      <c r="A48" s="1"/>
      <c r="B48" s="1"/>
      <c r="C48" s="1" t="str">
        <f aca="false">IF(C$16="","",C$15)</f>
        <v>Fr</v>
      </c>
      <c r="D48" s="1" t="str">
        <f aca="false">IF(D$16="","",D$15)</f>
        <v>Sa</v>
      </c>
      <c r="E48" s="1" t="str">
        <f aca="false">IF(E$16="","",E$15)</f>
        <v>Su</v>
      </c>
      <c r="F48" s="1" t="str">
        <f aca="false">IF(F$16="","",F$15)</f>
        <v>Mo</v>
      </c>
      <c r="G48" s="1" t="str">
        <f aca="false">IF(G$16="","",G$15)</f>
        <v>Tu</v>
      </c>
      <c r="H48" s="1" t="str">
        <f aca="false">IF(H$16="","",H$15)</f>
        <v>We</v>
      </c>
      <c r="I48" s="1" t="str">
        <f aca="false">IF(I$16="","",I$15)</f>
        <v>Th</v>
      </c>
      <c r="J48" s="1" t="str">
        <f aca="false">IF(J$16="","",J$15)</f>
        <v>Fr</v>
      </c>
      <c r="K48" s="1" t="str">
        <f aca="false">IF(K$16="","",K$15)</f>
        <v>Sa</v>
      </c>
      <c r="L48" s="1" t="str">
        <f aca="false">IF(L$16="","",L$15)</f>
        <v>Su</v>
      </c>
      <c r="M48" s="1" t="str">
        <f aca="false">IF(M$16="","",M$15)</f>
        <v>Mo</v>
      </c>
      <c r="N48" s="1" t="str">
        <f aca="false">IF(N$16="","",N$15)</f>
        <v>Tu</v>
      </c>
      <c r="O48" s="1" t="str">
        <f aca="false">IF(O$16="","",O$15)</f>
        <v>We</v>
      </c>
      <c r="P48" s="1" t="str">
        <f aca="false">IF(P$16="","",P$15)</f>
        <v>Th</v>
      </c>
      <c r="Q48" s="1" t="str">
        <f aca="false">IF(Q$16="","",Q$15)</f>
        <v>Fr</v>
      </c>
      <c r="R48" s="1" t="str">
        <f aca="false">IF(R$16="","",R$15)</f>
        <v>Sa</v>
      </c>
      <c r="S48" s="1" t="str">
        <f aca="false">IF(S$16="","",S$15)</f>
        <v>Su</v>
      </c>
      <c r="T48" s="1" t="str">
        <f aca="false">IF(T$16="","",T$15)</f>
        <v>Mo</v>
      </c>
      <c r="U48" s="1" t="str">
        <f aca="false">IF(U$16="","",U$15)</f>
        <v>Tu</v>
      </c>
      <c r="V48" s="1" t="str">
        <f aca="false">IF(V$16="","",V$15)</f>
        <v>We</v>
      </c>
      <c r="W48" s="1" t="str">
        <f aca="false">IF(W$16="","",W$15)</f>
        <v>Th</v>
      </c>
      <c r="X48" s="1" t="str">
        <f aca="false">IF(X$16="","",X$15)</f>
        <v>Fr</v>
      </c>
      <c r="Y48" s="1" t="str">
        <f aca="false">IF(Y$16="","",Y$15)</f>
        <v>Sa</v>
      </c>
      <c r="Z48" s="1" t="str">
        <f aca="false">IF(Z$16="","",Z$15)</f>
        <v>Su</v>
      </c>
      <c r="AA48" s="1" t="str">
        <f aca="false">IF(AA$16="","",AA$15)</f>
        <v>Mo</v>
      </c>
      <c r="AB48" s="1" t="str">
        <f aca="false">IF(AB$16="","",AB$15)</f>
        <v>Tu</v>
      </c>
      <c r="AC48" s="1" t="str">
        <f aca="false">IF(AC$16="","",AC$15)</f>
        <v>We</v>
      </c>
      <c r="AD48" s="1" t="str">
        <f aca="false">IF(AD$16="","",AD$15)</f>
        <v>Th</v>
      </c>
      <c r="AE48" s="1" t="str">
        <f aca="false">IF(AE$16="","",AE$15)</f>
        <v>Fr</v>
      </c>
      <c r="AF48" s="1" t="str">
        <f aca="false">IF(AF$16="","",AF$15)</f>
        <v>Sa</v>
      </c>
      <c r="AG48" s="1" t="str">
        <f aca="false">IF(AG$16="","",AG$15)</f>
        <v>Su</v>
      </c>
      <c r="AH48" s="1"/>
      <c r="AI48" s="1"/>
      <c r="AJ48" s="1"/>
      <c r="AK48" s="1"/>
      <c r="AL48" s="1"/>
      <c r="AM48" s="1"/>
      <c r="AN48" s="1"/>
      <c r="AO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</row>
  </sheetData>
  <mergeCells count="31">
    <mergeCell ref="B2:B3"/>
    <mergeCell ref="C2:Z2"/>
    <mergeCell ref="AA2:AG2"/>
    <mergeCell ref="AI2:AJ2"/>
    <mergeCell ref="AK2:AM2"/>
    <mergeCell ref="AI3:AJ4"/>
    <mergeCell ref="AK3:AM4"/>
    <mergeCell ref="AI5:AJ5"/>
    <mergeCell ref="AI6:AJ7"/>
    <mergeCell ref="AI8:AJ8"/>
    <mergeCell ref="AI9:AJ10"/>
    <mergeCell ref="B10:B12"/>
    <mergeCell ref="B14:B16"/>
    <mergeCell ref="C14:I14"/>
    <mergeCell ref="J14:P14"/>
    <mergeCell ref="Q14:W14"/>
    <mergeCell ref="X14:AD14"/>
    <mergeCell ref="AE14:AG14"/>
    <mergeCell ref="AI14:AM15"/>
    <mergeCell ref="C31:AG31"/>
    <mergeCell ref="AI31:AM31"/>
    <mergeCell ref="AJ32:AL32"/>
    <mergeCell ref="AJ33:AL33"/>
    <mergeCell ref="AJ34:AL34"/>
    <mergeCell ref="AJ35:AL35"/>
    <mergeCell ref="AJ36:AL36"/>
    <mergeCell ref="AJ37:AL37"/>
    <mergeCell ref="AJ38:AL38"/>
    <mergeCell ref="AJ39:AL39"/>
    <mergeCell ref="AJ40:AL40"/>
    <mergeCell ref="AJ41:AL41"/>
  </mergeCells>
  <conditionalFormatting sqref="C17:AG28">
    <cfRule type="expression" priority="2" aboveAverage="0" equalAverage="0" bottom="0" percent="0" rank="0" text="" dxfId="0">
      <formula>C$16=""</formula>
    </cfRule>
    <cfRule type="expression" priority="3" aboveAverage="0" equalAverage="0" bottom="0" percent="0" rank="0" text="" dxfId="1">
      <formula>C17=1</formula>
    </cfRule>
    <cfRule type="expression" priority="4" aboveAverage="0" equalAverage="0" bottom="0" percent="0" rank="0" text="" dxfId="2">
      <formula>C17=0</formula>
    </cfRule>
  </conditionalFormatting>
  <conditionalFormatting sqref="C32:AG33">
    <cfRule type="expression" priority="5" aboveAverage="0" equalAverage="0" bottom="0" percent="0" rank="0" text="" dxfId="3">
      <formula>C$16=""</formula>
    </cfRule>
  </conditionalFormatting>
  <conditionalFormatting sqref="AL17:AL28">
    <cfRule type="dataBar" priority="6">
      <dataBar showValue="1" minLength="10" maxLength="90">
        <cfvo type="num" val="0"/>
        <cfvo type="num" val="1"/>
        <color rgb="FF1F2433"/>
      </dataBar>
      <extLst>
        <ext xmlns:x14="http://schemas.microsoft.com/office/spreadsheetml/2009/9/main" uri="{B025F937-C7B1-47D3-B67F-A62EFF666E3E}">
          <x14:id>{BC87D91A-F739-4F36-8D52-70F0B69A3288}</x14:id>
        </ext>
      </extLst>
    </cfRule>
  </conditionalFormatting>
  <dataValidations count="4">
    <dataValidation allowBlank="false" errorStyle="stop" operator="between" showDropDown="false" showErrorMessage="false" showInputMessage="false" sqref="B9" type="list">
      <formula1>"January,February,March,April,May,June,July,August,September,October,November,December"</formula1>
      <formula2>0</formula2>
    </dataValidation>
    <dataValidation allowBlank="true" errorStyle="stop" operator="between" showDropDown="false" showErrorMessage="false" showInputMessage="false" sqref="C17:AG28" type="list">
      <formula1>"TRUE,FALSE"</formula1>
      <formula2>0</formula2>
    </dataValidation>
    <dataValidation allowBlank="true" errorStyle="stop" operator="between" showDropDown="false" showErrorMessage="false" showInputMessage="false" sqref="C32:AG32" type="list">
      <formula1>"1,2,3,4,5,6,7,8,9,10"</formula1>
      <formula2>0</formula2>
    </dataValidation>
    <dataValidation allowBlank="true" errorStyle="stop" operator="between" showDropDown="false" showErrorMessage="false" showInputMessage="false" sqref="C33:AG33" type="list">
      <formula1>"0,1,2,3,4,5,6,7,8,9,10,11,12"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C87D91A-F739-4F36-8D52-70F0B69A3288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1F2433"/>
              <x14:axisColor rgb="FF000000"/>
            </x14:dataBar>
          </x14:cfRule>
          <xm:sqref>AL17:AL28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433"/>
    <pageSetUpPr fitToPage="false"/>
  </sheetPr>
  <dimension ref="A1:AQ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0" topLeftCell="C1" activePane="topRight" state="frozen"/>
      <selection pane="topLeft" activeCell="A1" activeCellId="0" sqref="A1"/>
      <selection pane="top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3" min="3" style="0" width="3.9"/>
    <col collapsed="false" customWidth="true" hidden="false" outlineLevel="0" max="34" min="34" style="0" width="2"/>
    <col collapsed="false" customWidth="true" hidden="false" outlineLevel="0" max="36" min="35" style="0" width="8"/>
    <col collapsed="false" customWidth="true" hidden="false" outlineLevel="0" max="37" min="37" style="0" width="7"/>
    <col collapsed="false" customWidth="true" hidden="false" outlineLevel="0" max="38" min="38" style="0" width="14"/>
    <col collapsed="false" customWidth="true" hidden="false" outlineLevel="0" max="39" min="39" style="0" width="8"/>
    <col collapsed="false" customWidth="true" hidden="true" outlineLevel="0" max="43" min="40" style="0" width="13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Q1" s="2" t="s">
        <v>0</v>
      </c>
    </row>
    <row r="2" customFormat="false" ht="21.75" hidden="false" customHeight="true" outlineLevel="0" collapsed="false">
      <c r="A2" s="1"/>
      <c r="B2" s="3" t="s">
        <v>1</v>
      </c>
      <c r="C2" s="4" t="s">
        <v>2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 t="s">
        <v>3</v>
      </c>
      <c r="AB2" s="4"/>
      <c r="AC2" s="4"/>
      <c r="AD2" s="4"/>
      <c r="AE2" s="4"/>
      <c r="AF2" s="4"/>
      <c r="AG2" s="4"/>
      <c r="AH2" s="1"/>
      <c r="AI2" s="4" t="s">
        <v>4</v>
      </c>
      <c r="AJ2" s="4"/>
      <c r="AK2" s="4" t="s">
        <v>5</v>
      </c>
      <c r="AL2" s="4"/>
      <c r="AM2" s="4"/>
      <c r="AN2" s="1"/>
      <c r="AO2" s="1" t="s">
        <v>6</v>
      </c>
      <c r="AP2" s="2" t="n">
        <f aca="false">MATCH($B$9,$AQ$1:$AQ$12,0)</f>
        <v>6</v>
      </c>
      <c r="AQ2" s="2" t="s">
        <v>7</v>
      </c>
    </row>
    <row r="3" customFormat="false" ht="15.75" hidden="false" customHeight="true" outlineLevel="0" collapsed="false">
      <c r="A3" s="1"/>
      <c r="B3" s="3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5" t="n">
        <f aca="false">SUMPRODUCT(--(LEN($B$17:$B$28)&gt;0))*$AP$3</f>
        <v>300</v>
      </c>
      <c r="AJ3" s="5"/>
      <c r="AK3" s="6" t="n">
        <f aca="false">IF(AI3=0,0,AI6/AI3)</f>
        <v>0</v>
      </c>
      <c r="AL3" s="6"/>
      <c r="AM3" s="6"/>
      <c r="AN3" s="1"/>
      <c r="AO3" s="1" t="s">
        <v>8</v>
      </c>
      <c r="AP3" s="2" t="n">
        <f aca="false">DAY(DATE($B$7,$AP$2+1,0))</f>
        <v>30</v>
      </c>
      <c r="AQ3" s="2" t="s">
        <v>9</v>
      </c>
    </row>
    <row r="4" customFormat="false" ht="15.7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5"/>
      <c r="AJ4" s="5"/>
      <c r="AK4" s="6"/>
      <c r="AL4" s="6"/>
      <c r="AM4" s="6"/>
      <c r="AN4" s="1"/>
      <c r="AO4" s="1"/>
      <c r="AQ4" s="2" t="s">
        <v>10</v>
      </c>
    </row>
    <row r="5" customFormat="false" ht="15.75" hidden="false" customHeight="true" outlineLevel="0" collapsed="false">
      <c r="A5" s="1"/>
      <c r="B5" s="7" t="s">
        <v>11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4" t="s">
        <v>12</v>
      </c>
      <c r="AJ5" s="4"/>
      <c r="AK5" s="1"/>
      <c r="AL5" s="1"/>
      <c r="AM5" s="1"/>
      <c r="AN5" s="1"/>
      <c r="AO5" s="1" t="s">
        <v>12</v>
      </c>
      <c r="AP5" s="2" t="n">
        <f aca="false">AI6</f>
        <v>0</v>
      </c>
      <c r="AQ5" s="2" t="s">
        <v>13</v>
      </c>
    </row>
    <row r="6" customFormat="false" ht="15.75" hidden="false" customHeight="true" outlineLevel="0" collapsed="false">
      <c r="A6" s="1"/>
      <c r="B6" s="8" t="s">
        <v>14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5" t="n">
        <f aca="false">SUMPRODUCT(($B$17:$B$28&lt;&gt;"")*($C$17:$AG$28=TRUE()))</f>
        <v>0</v>
      </c>
      <c r="AJ6" s="5"/>
      <c r="AK6" s="1"/>
      <c r="AL6" s="1"/>
      <c r="AM6" s="1"/>
      <c r="AN6" s="1"/>
      <c r="AO6" s="1" t="s">
        <v>15</v>
      </c>
      <c r="AP6" s="2" t="n">
        <f aca="false">AI9</f>
        <v>300</v>
      </c>
      <c r="AQ6" s="2" t="s">
        <v>16</v>
      </c>
    </row>
    <row r="7" customFormat="false" ht="15.75" hidden="false" customHeight="true" outlineLevel="0" collapsed="false">
      <c r="A7" s="1"/>
      <c r="B7" s="30" t="n">
        <f aca="false">January!$B$7</f>
        <v>2026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5"/>
      <c r="AJ7" s="5"/>
      <c r="AK7" s="1"/>
      <c r="AL7" s="1"/>
      <c r="AM7" s="1"/>
      <c r="AN7" s="1"/>
      <c r="AO7" s="1"/>
      <c r="AQ7" s="2" t="s">
        <v>17</v>
      </c>
    </row>
    <row r="8" customFormat="false" ht="15.75" hidden="false" customHeight="true" outlineLevel="0" collapsed="false">
      <c r="A8" s="1"/>
      <c r="B8" s="8" t="s">
        <v>18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4" t="s">
        <v>15</v>
      </c>
      <c r="AJ8" s="4"/>
      <c r="AK8" s="1"/>
      <c r="AL8" s="1"/>
      <c r="AM8" s="1"/>
      <c r="AN8" s="1"/>
      <c r="AO8" s="1" t="s">
        <v>19</v>
      </c>
      <c r="AP8" s="2" t="n">
        <f aca="false">IF(OR(COUNTIF(C$16:I$16,"&gt;0")=0,SUMPRODUCT(--(LEN($B$17:$B$28)&gt;0))=0),0,SUMPRODUCT(($B$17:$B$28&lt;&gt;"")*(C$17:I$28=TRUE()))/(SUMPRODUCT(--(LEN($B$17:$B$28)&gt;0))*COUNTIF(C$16:I$16,"&gt;0")))</f>
        <v>0</v>
      </c>
      <c r="AQ8" s="2" t="s">
        <v>20</v>
      </c>
    </row>
    <row r="9" customFormat="false" ht="15.75" hidden="false" customHeight="true" outlineLevel="0" collapsed="false">
      <c r="A9" s="1"/>
      <c r="B9" s="9" t="s">
        <v>16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5" t="n">
        <f aca="false">AI3-AI6</f>
        <v>300</v>
      </c>
      <c r="AJ9" s="5"/>
      <c r="AK9" s="1"/>
      <c r="AL9" s="1"/>
      <c r="AM9" s="1"/>
      <c r="AN9" s="1"/>
      <c r="AO9" s="1" t="s">
        <v>21</v>
      </c>
      <c r="AP9" s="2" t="n">
        <f aca="false">IF(OR(COUNTIF(J$16:P$16,"&gt;0")=0,SUMPRODUCT(--(LEN($B$17:$B$28)&gt;0))=0),0,SUMPRODUCT(($B$17:$B$28&lt;&gt;"")*(J$17:P$28=TRUE()))/(SUMPRODUCT(--(LEN($B$17:$B$28)&gt;0))*COUNTIF(J$16:P$16,"&gt;0")))</f>
        <v>0</v>
      </c>
      <c r="AQ9" s="2" t="s">
        <v>22</v>
      </c>
    </row>
    <row r="10" customFormat="false" ht="15.75" hidden="false" customHeight="true" outlineLevel="0" collapsed="false">
      <c r="A10" s="1"/>
      <c r="B10" s="10" t="s">
        <v>23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5"/>
      <c r="AJ10" s="5"/>
      <c r="AK10" s="1"/>
      <c r="AL10" s="1"/>
      <c r="AM10" s="1"/>
      <c r="AN10" s="1"/>
      <c r="AO10" s="1" t="s">
        <v>24</v>
      </c>
      <c r="AP10" s="2" t="n">
        <f aca="false">IF(OR(COUNTIF(Q$16:W$16,"&gt;0")=0,SUMPRODUCT(--(LEN($B$17:$B$28)&gt;0))=0),0,SUMPRODUCT(($B$17:$B$28&lt;&gt;"")*(Q$17:W$28=TRUE()))/(SUMPRODUCT(--(LEN($B$17:$B$28)&gt;0))*COUNTIF(Q$16:W$16,"&gt;0")))</f>
        <v>0</v>
      </c>
      <c r="AQ10" s="2" t="s">
        <v>25</v>
      </c>
    </row>
    <row r="11" customFormat="false" ht="15.75" hidden="false" customHeight="true" outlineLevel="0" collapsed="false">
      <c r="A11" s="1"/>
      <c r="B11" s="10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 t="s">
        <v>26</v>
      </c>
      <c r="AP11" s="2" t="n">
        <f aca="false">IF(OR(COUNTIF(X$16:AD$16,"&gt;0")=0,SUMPRODUCT(--(LEN($B$17:$B$28)&gt;0))=0),0,SUMPRODUCT(($B$17:$B$28&lt;&gt;"")*(X$17:AD$28=TRUE()))/(SUMPRODUCT(--(LEN($B$17:$B$28)&gt;0))*COUNTIF(X$16:AD$16,"&gt;0")))</f>
        <v>0</v>
      </c>
      <c r="AQ11" s="2" t="s">
        <v>27</v>
      </c>
    </row>
    <row r="12" customFormat="false" ht="15.75" hidden="false" customHeight="true" outlineLevel="0" collapsed="false">
      <c r="A12" s="1"/>
      <c r="B12" s="10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 t="s">
        <v>28</v>
      </c>
      <c r="AP12" s="2" t="n">
        <f aca="false">IF(OR(COUNTIF(AE$16:AG$16,"&gt;0")=0,SUMPRODUCT(--(LEN($B$17:$B$28)&gt;0))=0),0,SUMPRODUCT(($B$17:$B$28&lt;&gt;"")*(AE$17:AG$28=TRUE()))/(SUMPRODUCT(--(LEN($B$17:$B$28)&gt;0))*COUNTIF(AE$16:AG$16,"&gt;0")))</f>
        <v>0</v>
      </c>
      <c r="AQ12" s="2" t="s">
        <v>29</v>
      </c>
    </row>
    <row r="13" customFormat="false" ht="15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</row>
    <row r="14" customFormat="false" ht="15" hidden="false" customHeight="false" outlineLevel="0" collapsed="false">
      <c r="A14" s="1"/>
      <c r="B14" s="11" t="s">
        <v>30</v>
      </c>
      <c r="C14" s="12" t="s">
        <v>19</v>
      </c>
      <c r="D14" s="12"/>
      <c r="E14" s="12"/>
      <c r="F14" s="12"/>
      <c r="G14" s="12"/>
      <c r="H14" s="12"/>
      <c r="I14" s="12"/>
      <c r="J14" s="12" t="s">
        <v>21</v>
      </c>
      <c r="K14" s="12"/>
      <c r="L14" s="12"/>
      <c r="M14" s="12"/>
      <c r="N14" s="12"/>
      <c r="O14" s="12"/>
      <c r="P14" s="12"/>
      <c r="Q14" s="12" t="s">
        <v>24</v>
      </c>
      <c r="R14" s="12"/>
      <c r="S14" s="12"/>
      <c r="T14" s="12"/>
      <c r="U14" s="12"/>
      <c r="V14" s="12"/>
      <c r="W14" s="12"/>
      <c r="X14" s="12" t="s">
        <v>26</v>
      </c>
      <c r="Y14" s="12"/>
      <c r="Z14" s="12"/>
      <c r="AA14" s="12"/>
      <c r="AB14" s="12"/>
      <c r="AC14" s="12"/>
      <c r="AD14" s="12"/>
      <c r="AE14" s="12" t="s">
        <v>28</v>
      </c>
      <c r="AF14" s="12"/>
      <c r="AG14" s="12"/>
      <c r="AH14" s="1"/>
      <c r="AI14" s="13" t="s">
        <v>31</v>
      </c>
      <c r="AJ14" s="13"/>
      <c r="AK14" s="13"/>
      <c r="AL14" s="13"/>
      <c r="AM14" s="13"/>
      <c r="AN14" s="1"/>
      <c r="AO14" s="1"/>
    </row>
    <row r="15" customFormat="false" ht="15" hidden="false" customHeight="false" outlineLevel="0" collapsed="false">
      <c r="A15" s="1"/>
      <c r="B15" s="11"/>
      <c r="C15" s="14" t="str">
        <f aca="false">IF(1&gt;$AP$3,"",CHOOSE(WEEKDAY(DATE($B$7,$AP$2,1)),"Su","Mo","Tu","We","Th","Fr","Sa"))</f>
        <v>Mo</v>
      </c>
      <c r="D15" s="14" t="str">
        <f aca="false">IF(2&gt;$AP$3,"",CHOOSE(WEEKDAY(DATE($B$7,$AP$2,2)),"Su","Mo","Tu","We","Th","Fr","Sa"))</f>
        <v>Tu</v>
      </c>
      <c r="E15" s="14" t="str">
        <f aca="false">IF(3&gt;$AP$3,"",CHOOSE(WEEKDAY(DATE($B$7,$AP$2,3)),"Su","Mo","Tu","We","Th","Fr","Sa"))</f>
        <v>We</v>
      </c>
      <c r="F15" s="14" t="str">
        <f aca="false">IF(4&gt;$AP$3,"",CHOOSE(WEEKDAY(DATE($B$7,$AP$2,4)),"Su","Mo","Tu","We","Th","Fr","Sa"))</f>
        <v>Th</v>
      </c>
      <c r="G15" s="14" t="str">
        <f aca="false">IF(5&gt;$AP$3,"",CHOOSE(WEEKDAY(DATE($B$7,$AP$2,5)),"Su","Mo","Tu","We","Th","Fr","Sa"))</f>
        <v>Fr</v>
      </c>
      <c r="H15" s="14" t="str">
        <f aca="false">IF(6&gt;$AP$3,"",CHOOSE(WEEKDAY(DATE($B$7,$AP$2,6)),"Su","Mo","Tu","We","Th","Fr","Sa"))</f>
        <v>Sa</v>
      </c>
      <c r="I15" s="14" t="str">
        <f aca="false">IF(7&gt;$AP$3,"",CHOOSE(WEEKDAY(DATE($B$7,$AP$2,7)),"Su","Mo","Tu","We","Th","Fr","Sa"))</f>
        <v>Su</v>
      </c>
      <c r="J15" s="14" t="str">
        <f aca="false">IF(8&gt;$AP$3,"",CHOOSE(WEEKDAY(DATE($B$7,$AP$2,8)),"Su","Mo","Tu","We","Th","Fr","Sa"))</f>
        <v>Mo</v>
      </c>
      <c r="K15" s="14" t="str">
        <f aca="false">IF(9&gt;$AP$3,"",CHOOSE(WEEKDAY(DATE($B$7,$AP$2,9)),"Su","Mo","Tu","We","Th","Fr","Sa"))</f>
        <v>Tu</v>
      </c>
      <c r="L15" s="14" t="str">
        <f aca="false">IF(10&gt;$AP$3,"",CHOOSE(WEEKDAY(DATE($B$7,$AP$2,10)),"Su","Mo","Tu","We","Th","Fr","Sa"))</f>
        <v>We</v>
      </c>
      <c r="M15" s="14" t="str">
        <f aca="false">IF(11&gt;$AP$3,"",CHOOSE(WEEKDAY(DATE($B$7,$AP$2,11)),"Su","Mo","Tu","We","Th","Fr","Sa"))</f>
        <v>Th</v>
      </c>
      <c r="N15" s="14" t="str">
        <f aca="false">IF(12&gt;$AP$3,"",CHOOSE(WEEKDAY(DATE($B$7,$AP$2,12)),"Su","Mo","Tu","We","Th","Fr","Sa"))</f>
        <v>Fr</v>
      </c>
      <c r="O15" s="14" t="str">
        <f aca="false">IF(13&gt;$AP$3,"",CHOOSE(WEEKDAY(DATE($B$7,$AP$2,13)),"Su","Mo","Tu","We","Th","Fr","Sa"))</f>
        <v>Sa</v>
      </c>
      <c r="P15" s="14" t="str">
        <f aca="false">IF(14&gt;$AP$3,"",CHOOSE(WEEKDAY(DATE($B$7,$AP$2,14)),"Su","Mo","Tu","We","Th","Fr","Sa"))</f>
        <v>Su</v>
      </c>
      <c r="Q15" s="14" t="str">
        <f aca="false">IF(15&gt;$AP$3,"",CHOOSE(WEEKDAY(DATE($B$7,$AP$2,15)),"Su","Mo","Tu","We","Th","Fr","Sa"))</f>
        <v>Mo</v>
      </c>
      <c r="R15" s="14" t="str">
        <f aca="false">IF(16&gt;$AP$3,"",CHOOSE(WEEKDAY(DATE($B$7,$AP$2,16)),"Su","Mo","Tu","We","Th","Fr","Sa"))</f>
        <v>Tu</v>
      </c>
      <c r="S15" s="14" t="str">
        <f aca="false">IF(17&gt;$AP$3,"",CHOOSE(WEEKDAY(DATE($B$7,$AP$2,17)),"Su","Mo","Tu","We","Th","Fr","Sa"))</f>
        <v>We</v>
      </c>
      <c r="T15" s="14" t="str">
        <f aca="false">IF(18&gt;$AP$3,"",CHOOSE(WEEKDAY(DATE($B$7,$AP$2,18)),"Su","Mo","Tu","We","Th","Fr","Sa"))</f>
        <v>Th</v>
      </c>
      <c r="U15" s="14" t="str">
        <f aca="false">IF(19&gt;$AP$3,"",CHOOSE(WEEKDAY(DATE($B$7,$AP$2,19)),"Su","Mo","Tu","We","Th","Fr","Sa"))</f>
        <v>Fr</v>
      </c>
      <c r="V15" s="14" t="str">
        <f aca="false">IF(20&gt;$AP$3,"",CHOOSE(WEEKDAY(DATE($B$7,$AP$2,20)),"Su","Mo","Tu","We","Th","Fr","Sa"))</f>
        <v>Sa</v>
      </c>
      <c r="W15" s="14" t="str">
        <f aca="false">IF(21&gt;$AP$3,"",CHOOSE(WEEKDAY(DATE($B$7,$AP$2,21)),"Su","Mo","Tu","We","Th","Fr","Sa"))</f>
        <v>Su</v>
      </c>
      <c r="X15" s="14" t="str">
        <f aca="false">IF(22&gt;$AP$3,"",CHOOSE(WEEKDAY(DATE($B$7,$AP$2,22)),"Su","Mo","Tu","We","Th","Fr","Sa"))</f>
        <v>Mo</v>
      </c>
      <c r="Y15" s="14" t="str">
        <f aca="false">IF(23&gt;$AP$3,"",CHOOSE(WEEKDAY(DATE($B$7,$AP$2,23)),"Su","Mo","Tu","We","Th","Fr","Sa"))</f>
        <v>Tu</v>
      </c>
      <c r="Z15" s="14" t="str">
        <f aca="false">IF(24&gt;$AP$3,"",CHOOSE(WEEKDAY(DATE($B$7,$AP$2,24)),"Su","Mo","Tu","We","Th","Fr","Sa"))</f>
        <v>We</v>
      </c>
      <c r="AA15" s="14" t="str">
        <f aca="false">IF(25&gt;$AP$3,"",CHOOSE(WEEKDAY(DATE($B$7,$AP$2,25)),"Su","Mo","Tu","We","Th","Fr","Sa"))</f>
        <v>Th</v>
      </c>
      <c r="AB15" s="14" t="str">
        <f aca="false">IF(26&gt;$AP$3,"",CHOOSE(WEEKDAY(DATE($B$7,$AP$2,26)),"Su","Mo","Tu","We","Th","Fr","Sa"))</f>
        <v>Fr</v>
      </c>
      <c r="AC15" s="14" t="str">
        <f aca="false">IF(27&gt;$AP$3,"",CHOOSE(WEEKDAY(DATE($B$7,$AP$2,27)),"Su","Mo","Tu","We","Th","Fr","Sa"))</f>
        <v>Sa</v>
      </c>
      <c r="AD15" s="14" t="str">
        <f aca="false">IF(28&gt;$AP$3,"",CHOOSE(WEEKDAY(DATE($B$7,$AP$2,28)),"Su","Mo","Tu","We","Th","Fr","Sa"))</f>
        <v>Su</v>
      </c>
      <c r="AE15" s="14" t="str">
        <f aca="false">IF(29&gt;$AP$3,"",CHOOSE(WEEKDAY(DATE($B$7,$AP$2,29)),"Su","Mo","Tu","We","Th","Fr","Sa"))</f>
        <v>Mo</v>
      </c>
      <c r="AF15" s="14" t="str">
        <f aca="false">IF(30&gt;$AP$3,"",CHOOSE(WEEKDAY(DATE($B$7,$AP$2,30)),"Su","Mo","Tu","We","Th","Fr","Sa"))</f>
        <v>Tu</v>
      </c>
      <c r="AG15" s="14" t="str">
        <f aca="false">IF(31&gt;$AP$3,"",CHOOSE(WEEKDAY(DATE($B$7,$AP$2,31)),"Su","Mo","Tu","We","Th","Fr","Sa"))</f>
        <v/>
      </c>
      <c r="AH15" s="1"/>
      <c r="AI15" s="13"/>
      <c r="AJ15" s="13"/>
      <c r="AK15" s="13"/>
      <c r="AL15" s="13"/>
      <c r="AM15" s="13"/>
      <c r="AN15" s="1"/>
      <c r="AO15" s="1"/>
    </row>
    <row r="16" customFormat="false" ht="15" hidden="false" customHeight="false" outlineLevel="0" collapsed="false">
      <c r="A16" s="1"/>
      <c r="B16" s="11"/>
      <c r="C16" s="14" t="n">
        <f aca="false">IF(1&gt;$AP$3,"",1)</f>
        <v>1</v>
      </c>
      <c r="D16" s="14" t="n">
        <f aca="false">IF(2&gt;$AP$3,"",2)</f>
        <v>2</v>
      </c>
      <c r="E16" s="14" t="n">
        <f aca="false">IF(3&gt;$AP$3,"",3)</f>
        <v>3</v>
      </c>
      <c r="F16" s="14" t="n">
        <f aca="false">IF(4&gt;$AP$3,"",4)</f>
        <v>4</v>
      </c>
      <c r="G16" s="14" t="n">
        <f aca="false">IF(5&gt;$AP$3,"",5)</f>
        <v>5</v>
      </c>
      <c r="H16" s="14" t="n">
        <f aca="false">IF(6&gt;$AP$3,"",6)</f>
        <v>6</v>
      </c>
      <c r="I16" s="14" t="n">
        <f aca="false">IF(7&gt;$AP$3,"",7)</f>
        <v>7</v>
      </c>
      <c r="J16" s="14" t="n">
        <f aca="false">IF(8&gt;$AP$3,"",8)</f>
        <v>8</v>
      </c>
      <c r="K16" s="14" t="n">
        <f aca="false">IF(9&gt;$AP$3,"",9)</f>
        <v>9</v>
      </c>
      <c r="L16" s="14" t="n">
        <f aca="false">IF(10&gt;$AP$3,"",10)</f>
        <v>10</v>
      </c>
      <c r="M16" s="14" t="n">
        <f aca="false">IF(11&gt;$AP$3,"",11)</f>
        <v>11</v>
      </c>
      <c r="N16" s="14" t="n">
        <f aca="false">IF(12&gt;$AP$3,"",12)</f>
        <v>12</v>
      </c>
      <c r="O16" s="14" t="n">
        <f aca="false">IF(13&gt;$AP$3,"",13)</f>
        <v>13</v>
      </c>
      <c r="P16" s="14" t="n">
        <f aca="false">IF(14&gt;$AP$3,"",14)</f>
        <v>14</v>
      </c>
      <c r="Q16" s="14" t="n">
        <f aca="false">IF(15&gt;$AP$3,"",15)</f>
        <v>15</v>
      </c>
      <c r="R16" s="14" t="n">
        <f aca="false">IF(16&gt;$AP$3,"",16)</f>
        <v>16</v>
      </c>
      <c r="S16" s="14" t="n">
        <f aca="false">IF(17&gt;$AP$3,"",17)</f>
        <v>17</v>
      </c>
      <c r="T16" s="14" t="n">
        <f aca="false">IF(18&gt;$AP$3,"",18)</f>
        <v>18</v>
      </c>
      <c r="U16" s="14" t="n">
        <f aca="false">IF(19&gt;$AP$3,"",19)</f>
        <v>19</v>
      </c>
      <c r="V16" s="14" t="n">
        <f aca="false">IF(20&gt;$AP$3,"",20)</f>
        <v>20</v>
      </c>
      <c r="W16" s="14" t="n">
        <f aca="false">IF(21&gt;$AP$3,"",21)</f>
        <v>21</v>
      </c>
      <c r="X16" s="14" t="n">
        <f aca="false">IF(22&gt;$AP$3,"",22)</f>
        <v>22</v>
      </c>
      <c r="Y16" s="14" t="n">
        <f aca="false">IF(23&gt;$AP$3,"",23)</f>
        <v>23</v>
      </c>
      <c r="Z16" s="14" t="n">
        <f aca="false">IF(24&gt;$AP$3,"",24)</f>
        <v>24</v>
      </c>
      <c r="AA16" s="14" t="n">
        <f aca="false">IF(25&gt;$AP$3,"",25)</f>
        <v>25</v>
      </c>
      <c r="AB16" s="14" t="n">
        <f aca="false">IF(26&gt;$AP$3,"",26)</f>
        <v>26</v>
      </c>
      <c r="AC16" s="14" t="n">
        <f aca="false">IF(27&gt;$AP$3,"",27)</f>
        <v>27</v>
      </c>
      <c r="AD16" s="14" t="n">
        <f aca="false">IF(28&gt;$AP$3,"",28)</f>
        <v>28</v>
      </c>
      <c r="AE16" s="14" t="n">
        <f aca="false">IF(29&gt;$AP$3,"",29)</f>
        <v>29</v>
      </c>
      <c r="AF16" s="14" t="n">
        <f aca="false">IF(30&gt;$AP$3,"",30)</f>
        <v>30</v>
      </c>
      <c r="AG16" s="14" t="str">
        <f aca="false">IF(31&gt;$AP$3,"",31)</f>
        <v/>
      </c>
      <c r="AH16" s="1"/>
      <c r="AI16" s="15" t="s">
        <v>4</v>
      </c>
      <c r="AJ16" s="15" t="s">
        <v>32</v>
      </c>
      <c r="AK16" s="15" t="s">
        <v>15</v>
      </c>
      <c r="AL16" s="15" t="s">
        <v>33</v>
      </c>
      <c r="AM16" s="15" t="s">
        <v>34</v>
      </c>
      <c r="AN16" s="1"/>
      <c r="AO16" s="1"/>
    </row>
    <row r="17" customFormat="false" ht="18" hidden="false" customHeight="true" outlineLevel="0" collapsed="false">
      <c r="A17" s="1"/>
      <c r="B17" s="16" t="s">
        <v>35</v>
      </c>
      <c r="C17" s="17" t="b">
        <f aca="false">FALSE()</f>
        <v>0</v>
      </c>
      <c r="D17" s="17" t="b">
        <f aca="false">FALSE()</f>
        <v>0</v>
      </c>
      <c r="E17" s="17" t="b">
        <f aca="false">FALSE()</f>
        <v>0</v>
      </c>
      <c r="F17" s="17" t="b">
        <f aca="false">FALSE()</f>
        <v>0</v>
      </c>
      <c r="G17" s="17" t="b">
        <f aca="false">FALSE()</f>
        <v>0</v>
      </c>
      <c r="H17" s="17" t="b">
        <f aca="false">FALSE()</f>
        <v>0</v>
      </c>
      <c r="I17" s="17" t="b">
        <f aca="false">FALSE()</f>
        <v>0</v>
      </c>
      <c r="J17" s="17" t="b">
        <f aca="false">FALSE()</f>
        <v>0</v>
      </c>
      <c r="K17" s="17" t="b">
        <f aca="false">FALSE()</f>
        <v>0</v>
      </c>
      <c r="L17" s="17" t="b">
        <f aca="false">FALSE()</f>
        <v>0</v>
      </c>
      <c r="M17" s="17" t="b">
        <f aca="false">FALSE()</f>
        <v>0</v>
      </c>
      <c r="N17" s="17" t="b">
        <f aca="false">FALSE()</f>
        <v>0</v>
      </c>
      <c r="O17" s="17" t="b">
        <f aca="false">FALSE()</f>
        <v>0</v>
      </c>
      <c r="P17" s="17" t="b">
        <f aca="false">FALSE()</f>
        <v>0</v>
      </c>
      <c r="Q17" s="17" t="b">
        <f aca="false">FALSE()</f>
        <v>0</v>
      </c>
      <c r="R17" s="17" t="b">
        <f aca="false">FALSE()</f>
        <v>0</v>
      </c>
      <c r="S17" s="17" t="b">
        <f aca="false">FALSE()</f>
        <v>0</v>
      </c>
      <c r="T17" s="17" t="b">
        <f aca="false">FALSE()</f>
        <v>0</v>
      </c>
      <c r="U17" s="17" t="b">
        <f aca="false">FALSE()</f>
        <v>0</v>
      </c>
      <c r="V17" s="17" t="b">
        <f aca="false">FALSE()</f>
        <v>0</v>
      </c>
      <c r="W17" s="17" t="b">
        <f aca="false">FALSE()</f>
        <v>0</v>
      </c>
      <c r="X17" s="17" t="b">
        <f aca="false">FALSE()</f>
        <v>0</v>
      </c>
      <c r="Y17" s="17" t="b">
        <f aca="false">FALSE()</f>
        <v>0</v>
      </c>
      <c r="Z17" s="17" t="b">
        <f aca="false">FALSE()</f>
        <v>0</v>
      </c>
      <c r="AA17" s="17" t="b">
        <f aca="false">FALSE()</f>
        <v>0</v>
      </c>
      <c r="AB17" s="17" t="b">
        <f aca="false">FALSE()</f>
        <v>0</v>
      </c>
      <c r="AC17" s="17" t="b">
        <f aca="false">FALSE()</f>
        <v>0</v>
      </c>
      <c r="AD17" s="17" t="b">
        <f aca="false">FALSE()</f>
        <v>0</v>
      </c>
      <c r="AE17" s="17" t="b">
        <f aca="false">FALSE()</f>
        <v>0</v>
      </c>
      <c r="AF17" s="17" t="b">
        <f aca="false">FALSE()</f>
        <v>0</v>
      </c>
      <c r="AG17" s="17" t="b">
        <f aca="false">FALSE()</f>
        <v>0</v>
      </c>
      <c r="AH17" s="1"/>
      <c r="AI17" s="18" t="n">
        <f aca="false">IF($B17="","",$AP$3)</f>
        <v>30</v>
      </c>
      <c r="AJ17" s="18" t="n">
        <f aca="false">IF($B17="","",COUNTIF(C17:AG17,TRUE()))</f>
        <v>0</v>
      </c>
      <c r="AK17" s="18" t="n">
        <f aca="false">IF($B17="","",AI17-AJ17)</f>
        <v>30</v>
      </c>
      <c r="AL17" s="19" t="n">
        <f aca="false">IF($B17="","",AJ17/AI17)</f>
        <v>0</v>
      </c>
      <c r="AM17" s="20" t="n">
        <f aca="false">IF($B17="","",AJ17/AI17)</f>
        <v>0</v>
      </c>
      <c r="AN17" s="21" t="n">
        <f aca="false">IF($B17="",-1,AM17-ROW()/100000)</f>
        <v>-0.00017</v>
      </c>
      <c r="AO17" s="1"/>
    </row>
    <row r="18" customFormat="false" ht="18" hidden="false" customHeight="true" outlineLevel="0" collapsed="false">
      <c r="A18" s="1"/>
      <c r="B18" s="16" t="s">
        <v>36</v>
      </c>
      <c r="C18" s="17" t="b">
        <f aca="false">FALSE()</f>
        <v>0</v>
      </c>
      <c r="D18" s="17" t="b">
        <f aca="false">FALSE()</f>
        <v>0</v>
      </c>
      <c r="E18" s="17" t="b">
        <f aca="false">FALSE()</f>
        <v>0</v>
      </c>
      <c r="F18" s="17" t="b">
        <f aca="false">FALSE()</f>
        <v>0</v>
      </c>
      <c r="G18" s="17" t="b">
        <f aca="false">FALSE()</f>
        <v>0</v>
      </c>
      <c r="H18" s="17" t="b">
        <f aca="false">FALSE()</f>
        <v>0</v>
      </c>
      <c r="I18" s="17" t="b">
        <f aca="false">FALSE()</f>
        <v>0</v>
      </c>
      <c r="J18" s="17" t="b">
        <f aca="false">FALSE()</f>
        <v>0</v>
      </c>
      <c r="K18" s="17" t="b">
        <f aca="false">FALSE()</f>
        <v>0</v>
      </c>
      <c r="L18" s="17" t="b">
        <f aca="false">FALSE()</f>
        <v>0</v>
      </c>
      <c r="M18" s="17" t="b">
        <f aca="false">FALSE()</f>
        <v>0</v>
      </c>
      <c r="N18" s="17" t="b">
        <f aca="false">FALSE()</f>
        <v>0</v>
      </c>
      <c r="O18" s="17" t="b">
        <f aca="false">FALSE()</f>
        <v>0</v>
      </c>
      <c r="P18" s="17" t="b">
        <f aca="false">FALSE()</f>
        <v>0</v>
      </c>
      <c r="Q18" s="17" t="b">
        <f aca="false">FALSE()</f>
        <v>0</v>
      </c>
      <c r="R18" s="17" t="b">
        <f aca="false">FALSE()</f>
        <v>0</v>
      </c>
      <c r="S18" s="17" t="b">
        <f aca="false">FALSE()</f>
        <v>0</v>
      </c>
      <c r="T18" s="17" t="b">
        <f aca="false">FALSE()</f>
        <v>0</v>
      </c>
      <c r="U18" s="17" t="b">
        <f aca="false">FALSE()</f>
        <v>0</v>
      </c>
      <c r="V18" s="17" t="b">
        <f aca="false">FALSE()</f>
        <v>0</v>
      </c>
      <c r="W18" s="17" t="b">
        <f aca="false">FALSE()</f>
        <v>0</v>
      </c>
      <c r="X18" s="17" t="b">
        <f aca="false">FALSE()</f>
        <v>0</v>
      </c>
      <c r="Y18" s="17" t="b">
        <f aca="false">FALSE()</f>
        <v>0</v>
      </c>
      <c r="Z18" s="17" t="b">
        <f aca="false">FALSE()</f>
        <v>0</v>
      </c>
      <c r="AA18" s="17" t="b">
        <f aca="false">FALSE()</f>
        <v>0</v>
      </c>
      <c r="AB18" s="17" t="b">
        <f aca="false">FALSE()</f>
        <v>0</v>
      </c>
      <c r="AC18" s="17" t="b">
        <f aca="false">FALSE()</f>
        <v>0</v>
      </c>
      <c r="AD18" s="17" t="b">
        <f aca="false">FALSE()</f>
        <v>0</v>
      </c>
      <c r="AE18" s="17" t="b">
        <f aca="false">FALSE()</f>
        <v>0</v>
      </c>
      <c r="AF18" s="17" t="b">
        <f aca="false">FALSE()</f>
        <v>0</v>
      </c>
      <c r="AG18" s="17" t="b">
        <f aca="false">FALSE()</f>
        <v>0</v>
      </c>
      <c r="AH18" s="1"/>
      <c r="AI18" s="18" t="n">
        <f aca="false">IF($B18="","",$AP$3)</f>
        <v>30</v>
      </c>
      <c r="AJ18" s="18" t="n">
        <f aca="false">IF($B18="","",COUNTIF(C18:AG18,TRUE()))</f>
        <v>0</v>
      </c>
      <c r="AK18" s="18" t="n">
        <f aca="false">IF($B18="","",AI18-AJ18)</f>
        <v>30</v>
      </c>
      <c r="AL18" s="19" t="n">
        <f aca="false">IF($B18="","",AJ18/AI18)</f>
        <v>0</v>
      </c>
      <c r="AM18" s="20" t="n">
        <f aca="false">IF($B18="","",AJ18/AI18)</f>
        <v>0</v>
      </c>
      <c r="AN18" s="21" t="n">
        <f aca="false">IF($B18="",-1,AM18-ROW()/100000)</f>
        <v>-0.00018</v>
      </c>
      <c r="AO18" s="1"/>
    </row>
    <row r="19" customFormat="false" ht="18" hidden="false" customHeight="true" outlineLevel="0" collapsed="false">
      <c r="A19" s="1"/>
      <c r="B19" s="16" t="s">
        <v>37</v>
      </c>
      <c r="C19" s="17" t="b">
        <f aca="false">FALSE()</f>
        <v>0</v>
      </c>
      <c r="D19" s="17" t="b">
        <f aca="false">FALSE()</f>
        <v>0</v>
      </c>
      <c r="E19" s="17" t="b">
        <f aca="false">FALSE()</f>
        <v>0</v>
      </c>
      <c r="F19" s="17" t="b">
        <f aca="false">FALSE()</f>
        <v>0</v>
      </c>
      <c r="G19" s="17" t="b">
        <f aca="false">FALSE()</f>
        <v>0</v>
      </c>
      <c r="H19" s="17" t="b">
        <f aca="false">FALSE()</f>
        <v>0</v>
      </c>
      <c r="I19" s="17" t="b">
        <f aca="false">FALSE()</f>
        <v>0</v>
      </c>
      <c r="J19" s="17" t="b">
        <f aca="false">FALSE()</f>
        <v>0</v>
      </c>
      <c r="K19" s="17" t="b">
        <f aca="false">FALSE()</f>
        <v>0</v>
      </c>
      <c r="L19" s="17" t="b">
        <f aca="false">FALSE()</f>
        <v>0</v>
      </c>
      <c r="M19" s="17" t="b">
        <f aca="false">FALSE()</f>
        <v>0</v>
      </c>
      <c r="N19" s="17" t="b">
        <f aca="false">FALSE()</f>
        <v>0</v>
      </c>
      <c r="O19" s="17" t="b">
        <f aca="false">FALSE()</f>
        <v>0</v>
      </c>
      <c r="P19" s="17" t="b">
        <f aca="false">FALSE()</f>
        <v>0</v>
      </c>
      <c r="Q19" s="17" t="b">
        <f aca="false">FALSE()</f>
        <v>0</v>
      </c>
      <c r="R19" s="17" t="b">
        <f aca="false">FALSE()</f>
        <v>0</v>
      </c>
      <c r="S19" s="17" t="b">
        <f aca="false">FALSE()</f>
        <v>0</v>
      </c>
      <c r="T19" s="17" t="b">
        <f aca="false">FALSE()</f>
        <v>0</v>
      </c>
      <c r="U19" s="17" t="b">
        <f aca="false">FALSE()</f>
        <v>0</v>
      </c>
      <c r="V19" s="17" t="b">
        <f aca="false">FALSE()</f>
        <v>0</v>
      </c>
      <c r="W19" s="17" t="b">
        <f aca="false">FALSE()</f>
        <v>0</v>
      </c>
      <c r="X19" s="17" t="b">
        <f aca="false">FALSE()</f>
        <v>0</v>
      </c>
      <c r="Y19" s="17" t="b">
        <f aca="false">FALSE()</f>
        <v>0</v>
      </c>
      <c r="Z19" s="17" t="b">
        <f aca="false">FALSE()</f>
        <v>0</v>
      </c>
      <c r="AA19" s="17" t="b">
        <f aca="false">FALSE()</f>
        <v>0</v>
      </c>
      <c r="AB19" s="17" t="b">
        <f aca="false">FALSE()</f>
        <v>0</v>
      </c>
      <c r="AC19" s="17" t="b">
        <f aca="false">FALSE()</f>
        <v>0</v>
      </c>
      <c r="AD19" s="17" t="b">
        <f aca="false">FALSE()</f>
        <v>0</v>
      </c>
      <c r="AE19" s="17" t="b">
        <f aca="false">FALSE()</f>
        <v>0</v>
      </c>
      <c r="AF19" s="17" t="b">
        <f aca="false">FALSE()</f>
        <v>0</v>
      </c>
      <c r="AG19" s="17" t="b">
        <f aca="false">FALSE()</f>
        <v>0</v>
      </c>
      <c r="AH19" s="1"/>
      <c r="AI19" s="18" t="n">
        <f aca="false">IF($B19="","",$AP$3)</f>
        <v>30</v>
      </c>
      <c r="AJ19" s="18" t="n">
        <f aca="false">IF($B19="","",COUNTIF(C19:AG19,TRUE()))</f>
        <v>0</v>
      </c>
      <c r="AK19" s="18" t="n">
        <f aca="false">IF($B19="","",AI19-AJ19)</f>
        <v>30</v>
      </c>
      <c r="AL19" s="19" t="n">
        <f aca="false">IF($B19="","",AJ19/AI19)</f>
        <v>0</v>
      </c>
      <c r="AM19" s="20" t="n">
        <f aca="false">IF($B19="","",AJ19/AI19)</f>
        <v>0</v>
      </c>
      <c r="AN19" s="21" t="n">
        <f aca="false">IF($B19="",-1,AM19-ROW()/100000)</f>
        <v>-0.00019</v>
      </c>
      <c r="AO19" s="1"/>
    </row>
    <row r="20" customFormat="false" ht="18" hidden="false" customHeight="true" outlineLevel="0" collapsed="false">
      <c r="A20" s="1"/>
      <c r="B20" s="16" t="s">
        <v>38</v>
      </c>
      <c r="C20" s="17" t="b">
        <f aca="false">FALSE()</f>
        <v>0</v>
      </c>
      <c r="D20" s="17" t="b">
        <f aca="false">FALSE()</f>
        <v>0</v>
      </c>
      <c r="E20" s="17" t="b">
        <f aca="false">FALSE()</f>
        <v>0</v>
      </c>
      <c r="F20" s="17" t="b">
        <f aca="false">FALSE()</f>
        <v>0</v>
      </c>
      <c r="G20" s="17" t="b">
        <f aca="false">FALSE()</f>
        <v>0</v>
      </c>
      <c r="H20" s="17" t="b">
        <f aca="false">FALSE()</f>
        <v>0</v>
      </c>
      <c r="I20" s="17" t="b">
        <f aca="false">FALSE()</f>
        <v>0</v>
      </c>
      <c r="J20" s="17" t="b">
        <f aca="false">FALSE()</f>
        <v>0</v>
      </c>
      <c r="K20" s="17" t="b">
        <f aca="false">FALSE()</f>
        <v>0</v>
      </c>
      <c r="L20" s="17" t="b">
        <f aca="false">FALSE()</f>
        <v>0</v>
      </c>
      <c r="M20" s="17" t="b">
        <f aca="false">FALSE()</f>
        <v>0</v>
      </c>
      <c r="N20" s="17" t="b">
        <f aca="false">FALSE()</f>
        <v>0</v>
      </c>
      <c r="O20" s="17" t="b">
        <f aca="false">FALSE()</f>
        <v>0</v>
      </c>
      <c r="P20" s="17" t="b">
        <f aca="false">FALSE()</f>
        <v>0</v>
      </c>
      <c r="Q20" s="17" t="b">
        <f aca="false">FALSE()</f>
        <v>0</v>
      </c>
      <c r="R20" s="17" t="b">
        <f aca="false">FALSE()</f>
        <v>0</v>
      </c>
      <c r="S20" s="17" t="b">
        <f aca="false">FALSE()</f>
        <v>0</v>
      </c>
      <c r="T20" s="17" t="b">
        <f aca="false">FALSE()</f>
        <v>0</v>
      </c>
      <c r="U20" s="17" t="b">
        <f aca="false">FALSE()</f>
        <v>0</v>
      </c>
      <c r="V20" s="17" t="b">
        <f aca="false">FALSE()</f>
        <v>0</v>
      </c>
      <c r="W20" s="17" t="b">
        <f aca="false">FALSE()</f>
        <v>0</v>
      </c>
      <c r="X20" s="17" t="b">
        <f aca="false">FALSE()</f>
        <v>0</v>
      </c>
      <c r="Y20" s="17" t="b">
        <f aca="false">FALSE()</f>
        <v>0</v>
      </c>
      <c r="Z20" s="17" t="b">
        <f aca="false">FALSE()</f>
        <v>0</v>
      </c>
      <c r="AA20" s="17" t="b">
        <f aca="false">FALSE()</f>
        <v>0</v>
      </c>
      <c r="AB20" s="17" t="b">
        <f aca="false">FALSE()</f>
        <v>0</v>
      </c>
      <c r="AC20" s="17" t="b">
        <f aca="false">FALSE()</f>
        <v>0</v>
      </c>
      <c r="AD20" s="17" t="b">
        <f aca="false">FALSE()</f>
        <v>0</v>
      </c>
      <c r="AE20" s="17" t="b">
        <f aca="false">FALSE()</f>
        <v>0</v>
      </c>
      <c r="AF20" s="17" t="b">
        <f aca="false">FALSE()</f>
        <v>0</v>
      </c>
      <c r="AG20" s="17" t="b">
        <f aca="false">FALSE()</f>
        <v>0</v>
      </c>
      <c r="AH20" s="1"/>
      <c r="AI20" s="18" t="n">
        <f aca="false">IF($B20="","",$AP$3)</f>
        <v>30</v>
      </c>
      <c r="AJ20" s="18" t="n">
        <f aca="false">IF($B20="","",COUNTIF(C20:AG20,TRUE()))</f>
        <v>0</v>
      </c>
      <c r="AK20" s="18" t="n">
        <f aca="false">IF($B20="","",AI20-AJ20)</f>
        <v>30</v>
      </c>
      <c r="AL20" s="19" t="n">
        <f aca="false">IF($B20="","",AJ20/AI20)</f>
        <v>0</v>
      </c>
      <c r="AM20" s="20" t="n">
        <f aca="false">IF($B20="","",AJ20/AI20)</f>
        <v>0</v>
      </c>
      <c r="AN20" s="21" t="n">
        <f aca="false">IF($B20="",-1,AM20-ROW()/100000)</f>
        <v>-0.0002</v>
      </c>
      <c r="AO20" s="1"/>
    </row>
    <row r="21" customFormat="false" ht="18" hidden="false" customHeight="true" outlineLevel="0" collapsed="false">
      <c r="A21" s="1"/>
      <c r="B21" s="16" t="s">
        <v>39</v>
      </c>
      <c r="C21" s="17" t="b">
        <f aca="false">FALSE()</f>
        <v>0</v>
      </c>
      <c r="D21" s="17" t="b">
        <f aca="false">FALSE()</f>
        <v>0</v>
      </c>
      <c r="E21" s="17" t="b">
        <f aca="false">FALSE()</f>
        <v>0</v>
      </c>
      <c r="F21" s="17" t="b">
        <f aca="false">FALSE()</f>
        <v>0</v>
      </c>
      <c r="G21" s="17" t="b">
        <f aca="false">FALSE()</f>
        <v>0</v>
      </c>
      <c r="H21" s="17" t="b">
        <f aca="false">FALSE()</f>
        <v>0</v>
      </c>
      <c r="I21" s="17" t="b">
        <f aca="false">FALSE()</f>
        <v>0</v>
      </c>
      <c r="J21" s="17" t="b">
        <f aca="false">FALSE()</f>
        <v>0</v>
      </c>
      <c r="K21" s="17" t="b">
        <f aca="false">FALSE()</f>
        <v>0</v>
      </c>
      <c r="L21" s="17" t="b">
        <f aca="false">FALSE()</f>
        <v>0</v>
      </c>
      <c r="M21" s="17" t="b">
        <f aca="false">FALSE()</f>
        <v>0</v>
      </c>
      <c r="N21" s="17" t="b">
        <f aca="false">FALSE()</f>
        <v>0</v>
      </c>
      <c r="O21" s="17" t="b">
        <f aca="false">FALSE()</f>
        <v>0</v>
      </c>
      <c r="P21" s="17" t="b">
        <f aca="false">FALSE()</f>
        <v>0</v>
      </c>
      <c r="Q21" s="17" t="b">
        <f aca="false">FALSE()</f>
        <v>0</v>
      </c>
      <c r="R21" s="17" t="b">
        <f aca="false">FALSE()</f>
        <v>0</v>
      </c>
      <c r="S21" s="17" t="b">
        <f aca="false">FALSE()</f>
        <v>0</v>
      </c>
      <c r="T21" s="17" t="b">
        <f aca="false">FALSE()</f>
        <v>0</v>
      </c>
      <c r="U21" s="17" t="b">
        <f aca="false">FALSE()</f>
        <v>0</v>
      </c>
      <c r="V21" s="17" t="b">
        <f aca="false">FALSE()</f>
        <v>0</v>
      </c>
      <c r="W21" s="17" t="b">
        <f aca="false">FALSE()</f>
        <v>0</v>
      </c>
      <c r="X21" s="17" t="b">
        <f aca="false">FALSE()</f>
        <v>0</v>
      </c>
      <c r="Y21" s="17" t="b">
        <f aca="false">FALSE()</f>
        <v>0</v>
      </c>
      <c r="Z21" s="17" t="b">
        <f aca="false">FALSE()</f>
        <v>0</v>
      </c>
      <c r="AA21" s="17" t="b">
        <f aca="false">FALSE()</f>
        <v>0</v>
      </c>
      <c r="AB21" s="17" t="b">
        <f aca="false">FALSE()</f>
        <v>0</v>
      </c>
      <c r="AC21" s="17" t="b">
        <f aca="false">FALSE()</f>
        <v>0</v>
      </c>
      <c r="AD21" s="17" t="b">
        <f aca="false">FALSE()</f>
        <v>0</v>
      </c>
      <c r="AE21" s="17" t="b">
        <f aca="false">FALSE()</f>
        <v>0</v>
      </c>
      <c r="AF21" s="17" t="b">
        <f aca="false">FALSE()</f>
        <v>0</v>
      </c>
      <c r="AG21" s="17" t="b">
        <f aca="false">FALSE()</f>
        <v>0</v>
      </c>
      <c r="AH21" s="1"/>
      <c r="AI21" s="18" t="n">
        <f aca="false">IF($B21="","",$AP$3)</f>
        <v>30</v>
      </c>
      <c r="AJ21" s="18" t="n">
        <f aca="false">IF($B21="","",COUNTIF(C21:AG21,TRUE()))</f>
        <v>0</v>
      </c>
      <c r="AK21" s="18" t="n">
        <f aca="false">IF($B21="","",AI21-AJ21)</f>
        <v>30</v>
      </c>
      <c r="AL21" s="19" t="n">
        <f aca="false">IF($B21="","",AJ21/AI21)</f>
        <v>0</v>
      </c>
      <c r="AM21" s="20" t="n">
        <f aca="false">IF($B21="","",AJ21/AI21)</f>
        <v>0</v>
      </c>
      <c r="AN21" s="21" t="n">
        <f aca="false">IF($B21="",-1,AM21-ROW()/100000)</f>
        <v>-0.00021</v>
      </c>
      <c r="AO21" s="1"/>
    </row>
    <row r="22" customFormat="false" ht="18" hidden="false" customHeight="true" outlineLevel="0" collapsed="false">
      <c r="A22" s="1"/>
      <c r="B22" s="16" t="s">
        <v>40</v>
      </c>
      <c r="C22" s="17" t="b">
        <f aca="false">FALSE()</f>
        <v>0</v>
      </c>
      <c r="D22" s="17" t="b">
        <f aca="false">FALSE()</f>
        <v>0</v>
      </c>
      <c r="E22" s="17" t="b">
        <f aca="false">FALSE()</f>
        <v>0</v>
      </c>
      <c r="F22" s="17" t="b">
        <f aca="false">FALSE()</f>
        <v>0</v>
      </c>
      <c r="G22" s="17" t="b">
        <f aca="false">FALSE()</f>
        <v>0</v>
      </c>
      <c r="H22" s="17" t="b">
        <f aca="false">FALSE()</f>
        <v>0</v>
      </c>
      <c r="I22" s="17" t="b">
        <f aca="false">FALSE()</f>
        <v>0</v>
      </c>
      <c r="J22" s="17" t="b">
        <f aca="false">FALSE()</f>
        <v>0</v>
      </c>
      <c r="K22" s="17" t="b">
        <f aca="false">FALSE()</f>
        <v>0</v>
      </c>
      <c r="L22" s="17" t="b">
        <f aca="false">FALSE()</f>
        <v>0</v>
      </c>
      <c r="M22" s="17" t="b">
        <f aca="false">FALSE()</f>
        <v>0</v>
      </c>
      <c r="N22" s="17" t="b">
        <f aca="false">FALSE()</f>
        <v>0</v>
      </c>
      <c r="O22" s="17" t="b">
        <f aca="false">FALSE()</f>
        <v>0</v>
      </c>
      <c r="P22" s="17" t="b">
        <f aca="false">FALSE()</f>
        <v>0</v>
      </c>
      <c r="Q22" s="17" t="b">
        <f aca="false">FALSE()</f>
        <v>0</v>
      </c>
      <c r="R22" s="17" t="b">
        <f aca="false">FALSE()</f>
        <v>0</v>
      </c>
      <c r="S22" s="17" t="b">
        <f aca="false">FALSE()</f>
        <v>0</v>
      </c>
      <c r="T22" s="17" t="b">
        <f aca="false">FALSE()</f>
        <v>0</v>
      </c>
      <c r="U22" s="17" t="b">
        <f aca="false">FALSE()</f>
        <v>0</v>
      </c>
      <c r="V22" s="17" t="b">
        <f aca="false">FALSE()</f>
        <v>0</v>
      </c>
      <c r="W22" s="17" t="b">
        <f aca="false">FALSE()</f>
        <v>0</v>
      </c>
      <c r="X22" s="17" t="b">
        <f aca="false">FALSE()</f>
        <v>0</v>
      </c>
      <c r="Y22" s="17" t="b">
        <f aca="false">FALSE()</f>
        <v>0</v>
      </c>
      <c r="Z22" s="17" t="b">
        <f aca="false">FALSE()</f>
        <v>0</v>
      </c>
      <c r="AA22" s="17" t="b">
        <f aca="false">FALSE()</f>
        <v>0</v>
      </c>
      <c r="AB22" s="17" t="b">
        <f aca="false">FALSE()</f>
        <v>0</v>
      </c>
      <c r="AC22" s="17" t="b">
        <f aca="false">FALSE()</f>
        <v>0</v>
      </c>
      <c r="AD22" s="17" t="b">
        <f aca="false">FALSE()</f>
        <v>0</v>
      </c>
      <c r="AE22" s="17" t="b">
        <f aca="false">FALSE()</f>
        <v>0</v>
      </c>
      <c r="AF22" s="17" t="b">
        <f aca="false">FALSE()</f>
        <v>0</v>
      </c>
      <c r="AG22" s="17" t="b">
        <f aca="false">FALSE()</f>
        <v>0</v>
      </c>
      <c r="AH22" s="1"/>
      <c r="AI22" s="18" t="n">
        <f aca="false">IF($B22="","",$AP$3)</f>
        <v>30</v>
      </c>
      <c r="AJ22" s="18" t="n">
        <f aca="false">IF($B22="","",COUNTIF(C22:AG22,TRUE()))</f>
        <v>0</v>
      </c>
      <c r="AK22" s="18" t="n">
        <f aca="false">IF($B22="","",AI22-AJ22)</f>
        <v>30</v>
      </c>
      <c r="AL22" s="19" t="n">
        <f aca="false">IF($B22="","",AJ22/AI22)</f>
        <v>0</v>
      </c>
      <c r="AM22" s="20" t="n">
        <f aca="false">IF($B22="","",AJ22/AI22)</f>
        <v>0</v>
      </c>
      <c r="AN22" s="21" t="n">
        <f aca="false">IF($B22="",-1,AM22-ROW()/100000)</f>
        <v>-0.00022</v>
      </c>
      <c r="AO22" s="1"/>
    </row>
    <row r="23" customFormat="false" ht="18" hidden="false" customHeight="true" outlineLevel="0" collapsed="false">
      <c r="A23" s="1"/>
      <c r="B23" s="16" t="s">
        <v>41</v>
      </c>
      <c r="C23" s="17" t="b">
        <f aca="false">FALSE()</f>
        <v>0</v>
      </c>
      <c r="D23" s="17" t="b">
        <f aca="false">FALSE()</f>
        <v>0</v>
      </c>
      <c r="E23" s="17" t="b">
        <f aca="false">FALSE()</f>
        <v>0</v>
      </c>
      <c r="F23" s="17" t="b">
        <f aca="false">FALSE()</f>
        <v>0</v>
      </c>
      <c r="G23" s="17" t="b">
        <f aca="false">FALSE()</f>
        <v>0</v>
      </c>
      <c r="H23" s="17" t="b">
        <f aca="false">FALSE()</f>
        <v>0</v>
      </c>
      <c r="I23" s="17" t="b">
        <f aca="false">FALSE()</f>
        <v>0</v>
      </c>
      <c r="J23" s="17" t="b">
        <f aca="false">FALSE()</f>
        <v>0</v>
      </c>
      <c r="K23" s="17" t="b">
        <f aca="false">FALSE()</f>
        <v>0</v>
      </c>
      <c r="L23" s="17" t="b">
        <f aca="false">FALSE()</f>
        <v>0</v>
      </c>
      <c r="M23" s="17" t="b">
        <f aca="false">FALSE()</f>
        <v>0</v>
      </c>
      <c r="N23" s="17" t="b">
        <f aca="false">FALSE()</f>
        <v>0</v>
      </c>
      <c r="O23" s="17" t="b">
        <f aca="false">FALSE()</f>
        <v>0</v>
      </c>
      <c r="P23" s="17" t="b">
        <f aca="false">FALSE()</f>
        <v>0</v>
      </c>
      <c r="Q23" s="17" t="b">
        <f aca="false">FALSE()</f>
        <v>0</v>
      </c>
      <c r="R23" s="17" t="b">
        <f aca="false">FALSE()</f>
        <v>0</v>
      </c>
      <c r="S23" s="17" t="b">
        <f aca="false">FALSE()</f>
        <v>0</v>
      </c>
      <c r="T23" s="17" t="b">
        <f aca="false">FALSE()</f>
        <v>0</v>
      </c>
      <c r="U23" s="17" t="b">
        <f aca="false">FALSE()</f>
        <v>0</v>
      </c>
      <c r="V23" s="17" t="b">
        <f aca="false">FALSE()</f>
        <v>0</v>
      </c>
      <c r="W23" s="17" t="b">
        <f aca="false">FALSE()</f>
        <v>0</v>
      </c>
      <c r="X23" s="17" t="b">
        <f aca="false">FALSE()</f>
        <v>0</v>
      </c>
      <c r="Y23" s="17" t="b">
        <f aca="false">FALSE()</f>
        <v>0</v>
      </c>
      <c r="Z23" s="17" t="b">
        <f aca="false">FALSE()</f>
        <v>0</v>
      </c>
      <c r="AA23" s="17" t="b">
        <f aca="false">FALSE()</f>
        <v>0</v>
      </c>
      <c r="AB23" s="17" t="b">
        <f aca="false">FALSE()</f>
        <v>0</v>
      </c>
      <c r="AC23" s="17" t="b">
        <f aca="false">FALSE()</f>
        <v>0</v>
      </c>
      <c r="AD23" s="17" t="b">
        <f aca="false">FALSE()</f>
        <v>0</v>
      </c>
      <c r="AE23" s="17" t="b">
        <f aca="false">FALSE()</f>
        <v>0</v>
      </c>
      <c r="AF23" s="17" t="b">
        <f aca="false">FALSE()</f>
        <v>0</v>
      </c>
      <c r="AG23" s="17" t="b">
        <f aca="false">FALSE()</f>
        <v>0</v>
      </c>
      <c r="AH23" s="1"/>
      <c r="AI23" s="18" t="n">
        <f aca="false">IF($B23="","",$AP$3)</f>
        <v>30</v>
      </c>
      <c r="AJ23" s="18" t="n">
        <f aca="false">IF($B23="","",COUNTIF(C23:AG23,TRUE()))</f>
        <v>0</v>
      </c>
      <c r="AK23" s="18" t="n">
        <f aca="false">IF($B23="","",AI23-AJ23)</f>
        <v>30</v>
      </c>
      <c r="AL23" s="19" t="n">
        <f aca="false">IF($B23="","",AJ23/AI23)</f>
        <v>0</v>
      </c>
      <c r="AM23" s="20" t="n">
        <f aca="false">IF($B23="","",AJ23/AI23)</f>
        <v>0</v>
      </c>
      <c r="AN23" s="21" t="n">
        <f aca="false">IF($B23="",-1,AM23-ROW()/100000)</f>
        <v>-0.00023</v>
      </c>
      <c r="AO23" s="1"/>
    </row>
    <row r="24" customFormat="false" ht="18" hidden="false" customHeight="true" outlineLevel="0" collapsed="false">
      <c r="A24" s="1"/>
      <c r="B24" s="16" t="s">
        <v>42</v>
      </c>
      <c r="C24" s="17" t="b">
        <f aca="false">FALSE()</f>
        <v>0</v>
      </c>
      <c r="D24" s="17" t="b">
        <f aca="false">FALSE()</f>
        <v>0</v>
      </c>
      <c r="E24" s="17" t="b">
        <f aca="false">FALSE()</f>
        <v>0</v>
      </c>
      <c r="F24" s="17" t="b">
        <f aca="false">FALSE()</f>
        <v>0</v>
      </c>
      <c r="G24" s="17" t="b">
        <f aca="false">FALSE()</f>
        <v>0</v>
      </c>
      <c r="H24" s="17" t="b">
        <f aca="false">FALSE()</f>
        <v>0</v>
      </c>
      <c r="I24" s="17" t="b">
        <f aca="false">FALSE()</f>
        <v>0</v>
      </c>
      <c r="J24" s="17" t="b">
        <f aca="false">FALSE()</f>
        <v>0</v>
      </c>
      <c r="K24" s="17" t="b">
        <f aca="false">FALSE()</f>
        <v>0</v>
      </c>
      <c r="L24" s="17" t="b">
        <f aca="false">FALSE()</f>
        <v>0</v>
      </c>
      <c r="M24" s="17" t="b">
        <f aca="false">FALSE()</f>
        <v>0</v>
      </c>
      <c r="N24" s="17" t="b">
        <f aca="false">FALSE()</f>
        <v>0</v>
      </c>
      <c r="O24" s="17" t="b">
        <f aca="false">FALSE()</f>
        <v>0</v>
      </c>
      <c r="P24" s="17" t="b">
        <f aca="false">FALSE()</f>
        <v>0</v>
      </c>
      <c r="Q24" s="17" t="b">
        <f aca="false">FALSE()</f>
        <v>0</v>
      </c>
      <c r="R24" s="17" t="b">
        <f aca="false">FALSE()</f>
        <v>0</v>
      </c>
      <c r="S24" s="17" t="b">
        <f aca="false">FALSE()</f>
        <v>0</v>
      </c>
      <c r="T24" s="17" t="b">
        <f aca="false">FALSE()</f>
        <v>0</v>
      </c>
      <c r="U24" s="17" t="b">
        <f aca="false">FALSE()</f>
        <v>0</v>
      </c>
      <c r="V24" s="17" t="b">
        <f aca="false">FALSE()</f>
        <v>0</v>
      </c>
      <c r="W24" s="17" t="b">
        <f aca="false">FALSE()</f>
        <v>0</v>
      </c>
      <c r="X24" s="17" t="b">
        <f aca="false">FALSE()</f>
        <v>0</v>
      </c>
      <c r="Y24" s="17" t="b">
        <f aca="false">FALSE()</f>
        <v>0</v>
      </c>
      <c r="Z24" s="17" t="b">
        <f aca="false">FALSE()</f>
        <v>0</v>
      </c>
      <c r="AA24" s="17" t="b">
        <f aca="false">FALSE()</f>
        <v>0</v>
      </c>
      <c r="AB24" s="17" t="b">
        <f aca="false">FALSE()</f>
        <v>0</v>
      </c>
      <c r="AC24" s="17" t="b">
        <f aca="false">FALSE()</f>
        <v>0</v>
      </c>
      <c r="AD24" s="17" t="b">
        <f aca="false">FALSE()</f>
        <v>0</v>
      </c>
      <c r="AE24" s="17" t="b">
        <f aca="false">FALSE()</f>
        <v>0</v>
      </c>
      <c r="AF24" s="17" t="b">
        <f aca="false">FALSE()</f>
        <v>0</v>
      </c>
      <c r="AG24" s="17" t="b">
        <f aca="false">FALSE()</f>
        <v>0</v>
      </c>
      <c r="AH24" s="1"/>
      <c r="AI24" s="18" t="n">
        <f aca="false">IF($B24="","",$AP$3)</f>
        <v>30</v>
      </c>
      <c r="AJ24" s="18" t="n">
        <f aca="false">IF($B24="","",COUNTIF(C24:AG24,TRUE()))</f>
        <v>0</v>
      </c>
      <c r="AK24" s="18" t="n">
        <f aca="false">IF($B24="","",AI24-AJ24)</f>
        <v>30</v>
      </c>
      <c r="AL24" s="19" t="n">
        <f aca="false">IF($B24="","",AJ24/AI24)</f>
        <v>0</v>
      </c>
      <c r="AM24" s="20" t="n">
        <f aca="false">IF($B24="","",AJ24/AI24)</f>
        <v>0</v>
      </c>
      <c r="AN24" s="21" t="n">
        <f aca="false">IF($B24="",-1,AM24-ROW()/100000)</f>
        <v>-0.00024</v>
      </c>
      <c r="AO24" s="1"/>
    </row>
    <row r="25" customFormat="false" ht="18" hidden="false" customHeight="true" outlineLevel="0" collapsed="false">
      <c r="A25" s="1"/>
      <c r="B25" s="16" t="s">
        <v>43</v>
      </c>
      <c r="C25" s="17" t="b">
        <f aca="false">FALSE()</f>
        <v>0</v>
      </c>
      <c r="D25" s="17" t="b">
        <f aca="false">FALSE()</f>
        <v>0</v>
      </c>
      <c r="E25" s="17" t="b">
        <f aca="false">FALSE()</f>
        <v>0</v>
      </c>
      <c r="F25" s="17" t="b">
        <f aca="false">FALSE()</f>
        <v>0</v>
      </c>
      <c r="G25" s="17" t="b">
        <f aca="false">FALSE()</f>
        <v>0</v>
      </c>
      <c r="H25" s="17" t="b">
        <f aca="false">FALSE()</f>
        <v>0</v>
      </c>
      <c r="I25" s="17" t="b">
        <f aca="false">FALSE()</f>
        <v>0</v>
      </c>
      <c r="J25" s="17" t="b">
        <f aca="false">FALSE()</f>
        <v>0</v>
      </c>
      <c r="K25" s="17" t="b">
        <f aca="false">FALSE()</f>
        <v>0</v>
      </c>
      <c r="L25" s="17" t="b">
        <f aca="false">FALSE()</f>
        <v>0</v>
      </c>
      <c r="M25" s="17" t="b">
        <f aca="false">FALSE()</f>
        <v>0</v>
      </c>
      <c r="N25" s="17" t="b">
        <f aca="false">FALSE()</f>
        <v>0</v>
      </c>
      <c r="O25" s="17" t="b">
        <f aca="false">FALSE()</f>
        <v>0</v>
      </c>
      <c r="P25" s="17" t="b">
        <f aca="false">FALSE()</f>
        <v>0</v>
      </c>
      <c r="Q25" s="17" t="b">
        <f aca="false">FALSE()</f>
        <v>0</v>
      </c>
      <c r="R25" s="17" t="b">
        <f aca="false">FALSE()</f>
        <v>0</v>
      </c>
      <c r="S25" s="17" t="b">
        <f aca="false">FALSE()</f>
        <v>0</v>
      </c>
      <c r="T25" s="17" t="b">
        <f aca="false">FALSE()</f>
        <v>0</v>
      </c>
      <c r="U25" s="17" t="b">
        <f aca="false">FALSE()</f>
        <v>0</v>
      </c>
      <c r="V25" s="17" t="b">
        <f aca="false">FALSE()</f>
        <v>0</v>
      </c>
      <c r="W25" s="17" t="b">
        <f aca="false">FALSE()</f>
        <v>0</v>
      </c>
      <c r="X25" s="17" t="b">
        <f aca="false">FALSE()</f>
        <v>0</v>
      </c>
      <c r="Y25" s="17" t="b">
        <f aca="false">FALSE()</f>
        <v>0</v>
      </c>
      <c r="Z25" s="17" t="b">
        <f aca="false">FALSE()</f>
        <v>0</v>
      </c>
      <c r="AA25" s="17" t="b">
        <f aca="false">FALSE()</f>
        <v>0</v>
      </c>
      <c r="AB25" s="17" t="b">
        <f aca="false">FALSE()</f>
        <v>0</v>
      </c>
      <c r="AC25" s="17" t="b">
        <f aca="false">FALSE()</f>
        <v>0</v>
      </c>
      <c r="AD25" s="17" t="b">
        <f aca="false">FALSE()</f>
        <v>0</v>
      </c>
      <c r="AE25" s="17" t="b">
        <f aca="false">FALSE()</f>
        <v>0</v>
      </c>
      <c r="AF25" s="17" t="b">
        <f aca="false">FALSE()</f>
        <v>0</v>
      </c>
      <c r="AG25" s="17" t="b">
        <f aca="false">FALSE()</f>
        <v>0</v>
      </c>
      <c r="AH25" s="1"/>
      <c r="AI25" s="18" t="n">
        <f aca="false">IF($B25="","",$AP$3)</f>
        <v>30</v>
      </c>
      <c r="AJ25" s="18" t="n">
        <f aca="false">IF($B25="","",COUNTIF(C25:AG25,TRUE()))</f>
        <v>0</v>
      </c>
      <c r="AK25" s="18" t="n">
        <f aca="false">IF($B25="","",AI25-AJ25)</f>
        <v>30</v>
      </c>
      <c r="AL25" s="19" t="n">
        <f aca="false">IF($B25="","",AJ25/AI25)</f>
        <v>0</v>
      </c>
      <c r="AM25" s="20" t="n">
        <f aca="false">IF($B25="","",AJ25/AI25)</f>
        <v>0</v>
      </c>
      <c r="AN25" s="21" t="n">
        <f aca="false">IF($B25="",-1,AM25-ROW()/100000)</f>
        <v>-0.00025</v>
      </c>
      <c r="AO25" s="1"/>
    </row>
    <row r="26" customFormat="false" ht="18" hidden="false" customHeight="true" outlineLevel="0" collapsed="false">
      <c r="A26" s="1"/>
      <c r="B26" s="16" t="s">
        <v>44</v>
      </c>
      <c r="C26" s="17" t="b">
        <f aca="false">FALSE()</f>
        <v>0</v>
      </c>
      <c r="D26" s="17" t="b">
        <f aca="false">FALSE()</f>
        <v>0</v>
      </c>
      <c r="E26" s="17" t="b">
        <f aca="false">FALSE()</f>
        <v>0</v>
      </c>
      <c r="F26" s="17" t="b">
        <f aca="false">FALSE()</f>
        <v>0</v>
      </c>
      <c r="G26" s="17" t="b">
        <f aca="false">FALSE()</f>
        <v>0</v>
      </c>
      <c r="H26" s="17" t="b">
        <f aca="false">FALSE()</f>
        <v>0</v>
      </c>
      <c r="I26" s="17" t="b">
        <f aca="false">FALSE()</f>
        <v>0</v>
      </c>
      <c r="J26" s="17" t="b">
        <f aca="false">FALSE()</f>
        <v>0</v>
      </c>
      <c r="K26" s="17" t="b">
        <f aca="false">FALSE()</f>
        <v>0</v>
      </c>
      <c r="L26" s="17" t="b">
        <f aca="false">FALSE()</f>
        <v>0</v>
      </c>
      <c r="M26" s="17" t="b">
        <f aca="false">FALSE()</f>
        <v>0</v>
      </c>
      <c r="N26" s="17" t="b">
        <f aca="false">FALSE()</f>
        <v>0</v>
      </c>
      <c r="O26" s="17" t="b">
        <f aca="false">FALSE()</f>
        <v>0</v>
      </c>
      <c r="P26" s="17" t="b">
        <f aca="false">FALSE()</f>
        <v>0</v>
      </c>
      <c r="Q26" s="17" t="b">
        <f aca="false">FALSE()</f>
        <v>0</v>
      </c>
      <c r="R26" s="17" t="b">
        <f aca="false">FALSE()</f>
        <v>0</v>
      </c>
      <c r="S26" s="17" t="b">
        <f aca="false">FALSE()</f>
        <v>0</v>
      </c>
      <c r="T26" s="17" t="b">
        <f aca="false">FALSE()</f>
        <v>0</v>
      </c>
      <c r="U26" s="17" t="b">
        <f aca="false">FALSE()</f>
        <v>0</v>
      </c>
      <c r="V26" s="17" t="b">
        <f aca="false">FALSE()</f>
        <v>0</v>
      </c>
      <c r="W26" s="17" t="b">
        <f aca="false">FALSE()</f>
        <v>0</v>
      </c>
      <c r="X26" s="17" t="b">
        <f aca="false">FALSE()</f>
        <v>0</v>
      </c>
      <c r="Y26" s="17" t="b">
        <f aca="false">FALSE()</f>
        <v>0</v>
      </c>
      <c r="Z26" s="17" t="b">
        <f aca="false">FALSE()</f>
        <v>0</v>
      </c>
      <c r="AA26" s="17" t="b">
        <f aca="false">FALSE()</f>
        <v>0</v>
      </c>
      <c r="AB26" s="17" t="b">
        <f aca="false">FALSE()</f>
        <v>0</v>
      </c>
      <c r="AC26" s="17" t="b">
        <f aca="false">FALSE()</f>
        <v>0</v>
      </c>
      <c r="AD26" s="17" t="b">
        <f aca="false">FALSE()</f>
        <v>0</v>
      </c>
      <c r="AE26" s="17" t="b">
        <f aca="false">FALSE()</f>
        <v>0</v>
      </c>
      <c r="AF26" s="17" t="b">
        <f aca="false">FALSE()</f>
        <v>0</v>
      </c>
      <c r="AG26" s="17" t="b">
        <f aca="false">FALSE()</f>
        <v>0</v>
      </c>
      <c r="AH26" s="1"/>
      <c r="AI26" s="18" t="n">
        <f aca="false">IF($B26="","",$AP$3)</f>
        <v>30</v>
      </c>
      <c r="AJ26" s="18" t="n">
        <f aca="false">IF($B26="","",COUNTIF(C26:AG26,TRUE()))</f>
        <v>0</v>
      </c>
      <c r="AK26" s="18" t="n">
        <f aca="false">IF($B26="","",AI26-AJ26)</f>
        <v>30</v>
      </c>
      <c r="AL26" s="19" t="n">
        <f aca="false">IF($B26="","",AJ26/AI26)</f>
        <v>0</v>
      </c>
      <c r="AM26" s="20" t="n">
        <f aca="false">IF($B26="","",AJ26/AI26)</f>
        <v>0</v>
      </c>
      <c r="AN26" s="21" t="n">
        <f aca="false">IF($B26="",-1,AM26-ROW()/100000)</f>
        <v>-0.00026</v>
      </c>
      <c r="AO26" s="1"/>
    </row>
    <row r="27" customFormat="false" ht="18" hidden="false" customHeight="true" outlineLevel="0" collapsed="false">
      <c r="A27" s="1"/>
      <c r="B27" s="16"/>
      <c r="C27" s="17" t="b">
        <f aca="false">FALSE()</f>
        <v>0</v>
      </c>
      <c r="D27" s="17" t="b">
        <f aca="false">FALSE()</f>
        <v>0</v>
      </c>
      <c r="E27" s="17" t="b">
        <f aca="false">FALSE()</f>
        <v>0</v>
      </c>
      <c r="F27" s="17" t="b">
        <f aca="false">FALSE()</f>
        <v>0</v>
      </c>
      <c r="G27" s="17" t="b">
        <f aca="false">FALSE()</f>
        <v>0</v>
      </c>
      <c r="H27" s="17" t="b">
        <f aca="false">FALSE()</f>
        <v>0</v>
      </c>
      <c r="I27" s="17" t="b">
        <f aca="false">FALSE()</f>
        <v>0</v>
      </c>
      <c r="J27" s="17" t="b">
        <f aca="false">FALSE()</f>
        <v>0</v>
      </c>
      <c r="K27" s="17" t="b">
        <f aca="false">FALSE()</f>
        <v>0</v>
      </c>
      <c r="L27" s="17" t="b">
        <f aca="false">FALSE()</f>
        <v>0</v>
      </c>
      <c r="M27" s="17" t="b">
        <f aca="false">FALSE()</f>
        <v>0</v>
      </c>
      <c r="N27" s="17" t="b">
        <f aca="false">FALSE()</f>
        <v>0</v>
      </c>
      <c r="O27" s="17" t="b">
        <f aca="false">FALSE()</f>
        <v>0</v>
      </c>
      <c r="P27" s="17" t="b">
        <f aca="false">FALSE()</f>
        <v>0</v>
      </c>
      <c r="Q27" s="17" t="b">
        <f aca="false">FALSE()</f>
        <v>0</v>
      </c>
      <c r="R27" s="17" t="b">
        <f aca="false">FALSE()</f>
        <v>0</v>
      </c>
      <c r="S27" s="17" t="b">
        <f aca="false">FALSE()</f>
        <v>0</v>
      </c>
      <c r="T27" s="17" t="b">
        <f aca="false">FALSE()</f>
        <v>0</v>
      </c>
      <c r="U27" s="17" t="b">
        <f aca="false">FALSE()</f>
        <v>0</v>
      </c>
      <c r="V27" s="17" t="b">
        <f aca="false">FALSE()</f>
        <v>0</v>
      </c>
      <c r="W27" s="17" t="b">
        <f aca="false">FALSE()</f>
        <v>0</v>
      </c>
      <c r="X27" s="17" t="b">
        <f aca="false">FALSE()</f>
        <v>0</v>
      </c>
      <c r="Y27" s="17" t="b">
        <f aca="false">FALSE()</f>
        <v>0</v>
      </c>
      <c r="Z27" s="17" t="b">
        <f aca="false">FALSE()</f>
        <v>0</v>
      </c>
      <c r="AA27" s="17" t="b">
        <f aca="false">FALSE()</f>
        <v>0</v>
      </c>
      <c r="AB27" s="17" t="b">
        <f aca="false">FALSE()</f>
        <v>0</v>
      </c>
      <c r="AC27" s="17" t="b">
        <f aca="false">FALSE()</f>
        <v>0</v>
      </c>
      <c r="AD27" s="17" t="b">
        <f aca="false">FALSE()</f>
        <v>0</v>
      </c>
      <c r="AE27" s="17" t="b">
        <f aca="false">FALSE()</f>
        <v>0</v>
      </c>
      <c r="AF27" s="17" t="b">
        <f aca="false">FALSE()</f>
        <v>0</v>
      </c>
      <c r="AG27" s="17" t="b">
        <f aca="false">FALSE()</f>
        <v>0</v>
      </c>
      <c r="AH27" s="1"/>
      <c r="AI27" s="18" t="str">
        <f aca="false">IF($B27="","",$AP$3)</f>
        <v/>
      </c>
      <c r="AJ27" s="18" t="str">
        <f aca="false">IF($B27="","",COUNTIF(C27:AG27,TRUE()))</f>
        <v/>
      </c>
      <c r="AK27" s="18" t="str">
        <f aca="false">IF($B27="","",AI27-AJ27)</f>
        <v/>
      </c>
      <c r="AL27" s="19" t="str">
        <f aca="false">IF($B27="","",AJ27/AI27)</f>
        <v/>
      </c>
      <c r="AM27" s="20" t="str">
        <f aca="false">IF($B27="","",AJ27/AI27)</f>
        <v/>
      </c>
      <c r="AN27" s="1" t="n">
        <f aca="false">IF($B27="",-1,AM27-ROW()/100000)</f>
        <v>-1</v>
      </c>
      <c r="AO27" s="1"/>
    </row>
    <row r="28" customFormat="false" ht="18" hidden="false" customHeight="true" outlineLevel="0" collapsed="false">
      <c r="A28" s="1"/>
      <c r="B28" s="16"/>
      <c r="C28" s="17" t="b">
        <f aca="false">FALSE()</f>
        <v>0</v>
      </c>
      <c r="D28" s="17" t="b">
        <f aca="false">FALSE()</f>
        <v>0</v>
      </c>
      <c r="E28" s="17" t="b">
        <f aca="false">FALSE()</f>
        <v>0</v>
      </c>
      <c r="F28" s="17" t="b">
        <f aca="false">FALSE()</f>
        <v>0</v>
      </c>
      <c r="G28" s="17" t="b">
        <f aca="false">FALSE()</f>
        <v>0</v>
      </c>
      <c r="H28" s="17" t="b">
        <f aca="false">FALSE()</f>
        <v>0</v>
      </c>
      <c r="I28" s="17" t="b">
        <f aca="false">FALSE()</f>
        <v>0</v>
      </c>
      <c r="J28" s="17" t="b">
        <f aca="false">FALSE()</f>
        <v>0</v>
      </c>
      <c r="K28" s="17" t="b">
        <f aca="false">FALSE()</f>
        <v>0</v>
      </c>
      <c r="L28" s="17" t="b">
        <f aca="false">FALSE()</f>
        <v>0</v>
      </c>
      <c r="M28" s="17" t="b">
        <f aca="false">FALSE()</f>
        <v>0</v>
      </c>
      <c r="N28" s="17" t="b">
        <f aca="false">FALSE()</f>
        <v>0</v>
      </c>
      <c r="O28" s="17" t="b">
        <f aca="false">FALSE()</f>
        <v>0</v>
      </c>
      <c r="P28" s="17" t="b">
        <f aca="false">FALSE()</f>
        <v>0</v>
      </c>
      <c r="Q28" s="17" t="b">
        <f aca="false">FALSE()</f>
        <v>0</v>
      </c>
      <c r="R28" s="17" t="b">
        <f aca="false">FALSE()</f>
        <v>0</v>
      </c>
      <c r="S28" s="17" t="b">
        <f aca="false">FALSE()</f>
        <v>0</v>
      </c>
      <c r="T28" s="17" t="b">
        <f aca="false">FALSE()</f>
        <v>0</v>
      </c>
      <c r="U28" s="17" t="b">
        <f aca="false">FALSE()</f>
        <v>0</v>
      </c>
      <c r="V28" s="17" t="b">
        <f aca="false">FALSE()</f>
        <v>0</v>
      </c>
      <c r="W28" s="17" t="b">
        <f aca="false">FALSE()</f>
        <v>0</v>
      </c>
      <c r="X28" s="17" t="b">
        <f aca="false">FALSE()</f>
        <v>0</v>
      </c>
      <c r="Y28" s="17" t="b">
        <f aca="false">FALSE()</f>
        <v>0</v>
      </c>
      <c r="Z28" s="17" t="b">
        <f aca="false">FALSE()</f>
        <v>0</v>
      </c>
      <c r="AA28" s="17" t="b">
        <f aca="false">FALSE()</f>
        <v>0</v>
      </c>
      <c r="AB28" s="17" t="b">
        <f aca="false">FALSE()</f>
        <v>0</v>
      </c>
      <c r="AC28" s="17" t="b">
        <f aca="false">FALSE()</f>
        <v>0</v>
      </c>
      <c r="AD28" s="17" t="b">
        <f aca="false">FALSE()</f>
        <v>0</v>
      </c>
      <c r="AE28" s="17" t="b">
        <f aca="false">FALSE()</f>
        <v>0</v>
      </c>
      <c r="AF28" s="17" t="b">
        <f aca="false">FALSE()</f>
        <v>0</v>
      </c>
      <c r="AG28" s="17" t="b">
        <f aca="false">FALSE()</f>
        <v>0</v>
      </c>
      <c r="AH28" s="1"/>
      <c r="AI28" s="18" t="str">
        <f aca="false">IF($B28="","",$AP$3)</f>
        <v/>
      </c>
      <c r="AJ28" s="18" t="str">
        <f aca="false">IF($B28="","",COUNTIF(C28:AG28,TRUE()))</f>
        <v/>
      </c>
      <c r="AK28" s="18" t="str">
        <f aca="false">IF($B28="","",AI28-AJ28)</f>
        <v/>
      </c>
      <c r="AL28" s="19" t="str">
        <f aca="false">IF($B28="","",AJ28/AI28)</f>
        <v/>
      </c>
      <c r="AM28" s="20" t="str">
        <f aca="false">IF($B28="","",AJ28/AI28)</f>
        <v/>
      </c>
      <c r="AN28" s="1" t="n">
        <f aca="false">IF($B28="",-1,AM28-ROW()/100000)</f>
        <v>-1</v>
      </c>
      <c r="AO28" s="1"/>
    </row>
    <row r="29" customFormat="false" ht="15" hidden="false" customHeight="false" outlineLevel="0" collapsed="false">
      <c r="A29" s="1"/>
      <c r="B29" s="22" t="s">
        <v>45</v>
      </c>
      <c r="C29" s="23" t="n">
        <f aca="false">IF(OR(C$16="",SUMPRODUCT(--(LEN($B$17:$B$28)&gt;0))=0),"",SUMPRODUCT(($B$17:$B$28&lt;&gt;"")*(C$17:C$28=TRUE()))/SUMPRODUCT(--(LEN($B$17:$B$28)&gt;0)))</f>
        <v>0</v>
      </c>
      <c r="D29" s="23" t="n">
        <f aca="false">IF(OR(D$16="",SUMPRODUCT(--(LEN($B$17:$B$28)&gt;0))=0),"",SUMPRODUCT(($B$17:$B$28&lt;&gt;"")*(D$17:D$28=TRUE()))/SUMPRODUCT(--(LEN($B$17:$B$28)&gt;0)))</f>
        <v>0</v>
      </c>
      <c r="E29" s="23" t="n">
        <f aca="false">IF(OR(E$16="",SUMPRODUCT(--(LEN($B$17:$B$28)&gt;0))=0),"",SUMPRODUCT(($B$17:$B$28&lt;&gt;"")*(E$17:E$28=TRUE()))/SUMPRODUCT(--(LEN($B$17:$B$28)&gt;0)))</f>
        <v>0</v>
      </c>
      <c r="F29" s="23" t="n">
        <f aca="false">IF(OR(F$16="",SUMPRODUCT(--(LEN($B$17:$B$28)&gt;0))=0),"",SUMPRODUCT(($B$17:$B$28&lt;&gt;"")*(F$17:F$28=TRUE()))/SUMPRODUCT(--(LEN($B$17:$B$28)&gt;0)))</f>
        <v>0</v>
      </c>
      <c r="G29" s="23" t="n">
        <f aca="false">IF(OR(G$16="",SUMPRODUCT(--(LEN($B$17:$B$28)&gt;0))=0),"",SUMPRODUCT(($B$17:$B$28&lt;&gt;"")*(G$17:G$28=TRUE()))/SUMPRODUCT(--(LEN($B$17:$B$28)&gt;0)))</f>
        <v>0</v>
      </c>
      <c r="H29" s="23" t="n">
        <f aca="false">IF(OR(H$16="",SUMPRODUCT(--(LEN($B$17:$B$28)&gt;0))=0),"",SUMPRODUCT(($B$17:$B$28&lt;&gt;"")*(H$17:H$28=TRUE()))/SUMPRODUCT(--(LEN($B$17:$B$28)&gt;0)))</f>
        <v>0</v>
      </c>
      <c r="I29" s="23" t="n">
        <f aca="false">IF(OR(I$16="",SUMPRODUCT(--(LEN($B$17:$B$28)&gt;0))=0),"",SUMPRODUCT(($B$17:$B$28&lt;&gt;"")*(I$17:I$28=TRUE()))/SUMPRODUCT(--(LEN($B$17:$B$28)&gt;0)))</f>
        <v>0</v>
      </c>
      <c r="J29" s="23" t="n">
        <f aca="false">IF(OR(J$16="",SUMPRODUCT(--(LEN($B$17:$B$28)&gt;0))=0),"",SUMPRODUCT(($B$17:$B$28&lt;&gt;"")*(J$17:J$28=TRUE()))/SUMPRODUCT(--(LEN($B$17:$B$28)&gt;0)))</f>
        <v>0</v>
      </c>
      <c r="K29" s="23" t="n">
        <f aca="false">IF(OR(K$16="",SUMPRODUCT(--(LEN($B$17:$B$28)&gt;0))=0),"",SUMPRODUCT(($B$17:$B$28&lt;&gt;"")*(K$17:K$28=TRUE()))/SUMPRODUCT(--(LEN($B$17:$B$28)&gt;0)))</f>
        <v>0</v>
      </c>
      <c r="L29" s="23" t="n">
        <f aca="false">IF(OR(L$16="",SUMPRODUCT(--(LEN($B$17:$B$28)&gt;0))=0),"",SUMPRODUCT(($B$17:$B$28&lt;&gt;"")*(L$17:L$28=TRUE()))/SUMPRODUCT(--(LEN($B$17:$B$28)&gt;0)))</f>
        <v>0</v>
      </c>
      <c r="M29" s="23" t="n">
        <f aca="false">IF(OR(M$16="",SUMPRODUCT(--(LEN($B$17:$B$28)&gt;0))=0),"",SUMPRODUCT(($B$17:$B$28&lt;&gt;"")*(M$17:M$28=TRUE()))/SUMPRODUCT(--(LEN($B$17:$B$28)&gt;0)))</f>
        <v>0</v>
      </c>
      <c r="N29" s="23" t="n">
        <f aca="false">IF(OR(N$16="",SUMPRODUCT(--(LEN($B$17:$B$28)&gt;0))=0),"",SUMPRODUCT(($B$17:$B$28&lt;&gt;"")*(N$17:N$28=TRUE()))/SUMPRODUCT(--(LEN($B$17:$B$28)&gt;0)))</f>
        <v>0</v>
      </c>
      <c r="O29" s="23" t="n">
        <f aca="false">IF(OR(O$16="",SUMPRODUCT(--(LEN($B$17:$B$28)&gt;0))=0),"",SUMPRODUCT(($B$17:$B$28&lt;&gt;"")*(O$17:O$28=TRUE()))/SUMPRODUCT(--(LEN($B$17:$B$28)&gt;0)))</f>
        <v>0</v>
      </c>
      <c r="P29" s="23" t="n">
        <f aca="false">IF(OR(P$16="",SUMPRODUCT(--(LEN($B$17:$B$28)&gt;0))=0),"",SUMPRODUCT(($B$17:$B$28&lt;&gt;"")*(P$17:P$28=TRUE()))/SUMPRODUCT(--(LEN($B$17:$B$28)&gt;0)))</f>
        <v>0</v>
      </c>
      <c r="Q29" s="23" t="n">
        <f aca="false">IF(OR(Q$16="",SUMPRODUCT(--(LEN($B$17:$B$28)&gt;0))=0),"",SUMPRODUCT(($B$17:$B$28&lt;&gt;"")*(Q$17:Q$28=TRUE()))/SUMPRODUCT(--(LEN($B$17:$B$28)&gt;0)))</f>
        <v>0</v>
      </c>
      <c r="R29" s="23" t="n">
        <f aca="false">IF(OR(R$16="",SUMPRODUCT(--(LEN($B$17:$B$28)&gt;0))=0),"",SUMPRODUCT(($B$17:$B$28&lt;&gt;"")*(R$17:R$28=TRUE()))/SUMPRODUCT(--(LEN($B$17:$B$28)&gt;0)))</f>
        <v>0</v>
      </c>
      <c r="S29" s="23" t="n">
        <f aca="false">IF(OR(S$16="",SUMPRODUCT(--(LEN($B$17:$B$28)&gt;0))=0),"",SUMPRODUCT(($B$17:$B$28&lt;&gt;"")*(S$17:S$28=TRUE()))/SUMPRODUCT(--(LEN($B$17:$B$28)&gt;0)))</f>
        <v>0</v>
      </c>
      <c r="T29" s="23" t="n">
        <f aca="false">IF(OR(T$16="",SUMPRODUCT(--(LEN($B$17:$B$28)&gt;0))=0),"",SUMPRODUCT(($B$17:$B$28&lt;&gt;"")*(T$17:T$28=TRUE()))/SUMPRODUCT(--(LEN($B$17:$B$28)&gt;0)))</f>
        <v>0</v>
      </c>
      <c r="U29" s="23" t="n">
        <f aca="false">IF(OR(U$16="",SUMPRODUCT(--(LEN($B$17:$B$28)&gt;0))=0),"",SUMPRODUCT(($B$17:$B$28&lt;&gt;"")*(U$17:U$28=TRUE()))/SUMPRODUCT(--(LEN($B$17:$B$28)&gt;0)))</f>
        <v>0</v>
      </c>
      <c r="V29" s="23" t="n">
        <f aca="false">IF(OR(V$16="",SUMPRODUCT(--(LEN($B$17:$B$28)&gt;0))=0),"",SUMPRODUCT(($B$17:$B$28&lt;&gt;"")*(V$17:V$28=TRUE()))/SUMPRODUCT(--(LEN($B$17:$B$28)&gt;0)))</f>
        <v>0</v>
      </c>
      <c r="W29" s="23" t="n">
        <f aca="false">IF(OR(W$16="",SUMPRODUCT(--(LEN($B$17:$B$28)&gt;0))=0),"",SUMPRODUCT(($B$17:$B$28&lt;&gt;"")*(W$17:W$28=TRUE()))/SUMPRODUCT(--(LEN($B$17:$B$28)&gt;0)))</f>
        <v>0</v>
      </c>
      <c r="X29" s="23" t="n">
        <f aca="false">IF(OR(X$16="",SUMPRODUCT(--(LEN($B$17:$B$28)&gt;0))=0),"",SUMPRODUCT(($B$17:$B$28&lt;&gt;"")*(X$17:X$28=TRUE()))/SUMPRODUCT(--(LEN($B$17:$B$28)&gt;0)))</f>
        <v>0</v>
      </c>
      <c r="Y29" s="23" t="n">
        <f aca="false">IF(OR(Y$16="",SUMPRODUCT(--(LEN($B$17:$B$28)&gt;0))=0),"",SUMPRODUCT(($B$17:$B$28&lt;&gt;"")*(Y$17:Y$28=TRUE()))/SUMPRODUCT(--(LEN($B$17:$B$28)&gt;0)))</f>
        <v>0</v>
      </c>
      <c r="Z29" s="23" t="n">
        <f aca="false">IF(OR(Z$16="",SUMPRODUCT(--(LEN($B$17:$B$28)&gt;0))=0),"",SUMPRODUCT(($B$17:$B$28&lt;&gt;"")*(Z$17:Z$28=TRUE()))/SUMPRODUCT(--(LEN($B$17:$B$28)&gt;0)))</f>
        <v>0</v>
      </c>
      <c r="AA29" s="23" t="n">
        <f aca="false">IF(OR(AA$16="",SUMPRODUCT(--(LEN($B$17:$B$28)&gt;0))=0),"",SUMPRODUCT(($B$17:$B$28&lt;&gt;"")*(AA$17:AA$28=TRUE()))/SUMPRODUCT(--(LEN($B$17:$B$28)&gt;0)))</f>
        <v>0</v>
      </c>
      <c r="AB29" s="23" t="n">
        <f aca="false">IF(OR(AB$16="",SUMPRODUCT(--(LEN($B$17:$B$28)&gt;0))=0),"",SUMPRODUCT(($B$17:$B$28&lt;&gt;"")*(AB$17:AB$28=TRUE()))/SUMPRODUCT(--(LEN($B$17:$B$28)&gt;0)))</f>
        <v>0</v>
      </c>
      <c r="AC29" s="23" t="n">
        <f aca="false">IF(OR(AC$16="",SUMPRODUCT(--(LEN($B$17:$B$28)&gt;0))=0),"",SUMPRODUCT(($B$17:$B$28&lt;&gt;"")*(AC$17:AC$28=TRUE()))/SUMPRODUCT(--(LEN($B$17:$B$28)&gt;0)))</f>
        <v>0</v>
      </c>
      <c r="AD29" s="23" t="n">
        <f aca="false">IF(OR(AD$16="",SUMPRODUCT(--(LEN($B$17:$B$28)&gt;0))=0),"",SUMPRODUCT(($B$17:$B$28&lt;&gt;"")*(AD$17:AD$28=TRUE()))/SUMPRODUCT(--(LEN($B$17:$B$28)&gt;0)))</f>
        <v>0</v>
      </c>
      <c r="AE29" s="23" t="n">
        <f aca="false">IF(OR(AE$16="",SUMPRODUCT(--(LEN($B$17:$B$28)&gt;0))=0),"",SUMPRODUCT(($B$17:$B$28&lt;&gt;"")*(AE$17:AE$28=TRUE()))/SUMPRODUCT(--(LEN($B$17:$B$28)&gt;0)))</f>
        <v>0</v>
      </c>
      <c r="AF29" s="23" t="n">
        <f aca="false">IF(OR(AF$16="",SUMPRODUCT(--(LEN($B$17:$B$28)&gt;0))=0),"",SUMPRODUCT(($B$17:$B$28&lt;&gt;"")*(AF$17:AF$28=TRUE()))/SUMPRODUCT(--(LEN($B$17:$B$28)&gt;0)))</f>
        <v>0</v>
      </c>
      <c r="AG29" s="23" t="str">
        <f aca="false">IF(OR(AG$16="",SUMPRODUCT(--(LEN($B$17:$B$28)&gt;0))=0),"",SUMPRODUCT(($B$17:$B$28&lt;&gt;"")*(AG$17:AG$28=TRUE()))/SUMPRODUCT(--(LEN($B$17:$B$28)&gt;0)))</f>
        <v/>
      </c>
      <c r="AH29" s="1"/>
      <c r="AI29" s="1"/>
      <c r="AJ29" s="1"/>
      <c r="AK29" s="1"/>
      <c r="AL29" s="1"/>
      <c r="AM29" s="1"/>
      <c r="AN29" s="1"/>
      <c r="AO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</row>
    <row r="31" customFormat="false" ht="15" hidden="false" customHeight="false" outlineLevel="0" collapsed="false">
      <c r="A31" s="1"/>
      <c r="B31" s="24"/>
      <c r="C31" s="12" t="s">
        <v>46</v>
      </c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"/>
      <c r="AI31" s="25" t="s">
        <v>47</v>
      </c>
      <c r="AJ31" s="25"/>
      <c r="AK31" s="25"/>
      <c r="AL31" s="25"/>
      <c r="AM31" s="25"/>
      <c r="AN31" s="1"/>
      <c r="AO31" s="1"/>
    </row>
    <row r="32" customFormat="false" ht="15.75" hidden="false" customHeight="true" outlineLevel="0" collapsed="false">
      <c r="A32" s="1"/>
      <c r="B32" s="7" t="s">
        <v>48</v>
      </c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1"/>
      <c r="AI32" s="27" t="n">
        <v>1</v>
      </c>
      <c r="AJ32" s="28" t="str">
        <f aca="false">IF(LARGE($AN$17:$AN$28,1)&lt;0,"",INDEX($B$17:$B$28,MATCH(LARGE($AN$17:$AN$28,1),$AN$17:$AN$28,0)))</f>
        <v/>
      </c>
      <c r="AK32" s="28"/>
      <c r="AL32" s="28"/>
      <c r="AM32" s="29" t="str">
        <f aca="false">IF(AJ32="","",INDEX($AM$17:$AM$28,MATCH(LARGE($AN$17:$AN$28,1),$AN$17:$AN$28,0)))</f>
        <v/>
      </c>
      <c r="AN32" s="1"/>
      <c r="AO32" s="1"/>
    </row>
    <row r="33" customFormat="false" ht="15.75" hidden="false" customHeight="true" outlineLevel="0" collapsed="false">
      <c r="A33" s="1"/>
      <c r="B33" s="7" t="s">
        <v>49</v>
      </c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1"/>
      <c r="AI33" s="27" t="n">
        <v>2</v>
      </c>
      <c r="AJ33" s="28" t="str">
        <f aca="false">IF(LARGE($AN$17:$AN$28,2)&lt;0,"",INDEX($B$17:$B$28,MATCH(LARGE($AN$17:$AN$28,2),$AN$17:$AN$28,0)))</f>
        <v/>
      </c>
      <c r="AK33" s="28"/>
      <c r="AL33" s="28"/>
      <c r="AM33" s="29" t="str">
        <f aca="false">IF(AJ33="","",INDEX($AM$17:$AM$28,MATCH(LARGE($AN$17:$AN$28,2),$AN$17:$AN$28,0)))</f>
        <v/>
      </c>
      <c r="AN33" s="1"/>
      <c r="AO33" s="1"/>
    </row>
    <row r="34" customFormat="false" ht="15.75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27" t="n">
        <v>3</v>
      </c>
      <c r="AJ34" s="28" t="str">
        <f aca="false">IF(LARGE($AN$17:$AN$28,3)&lt;0,"",INDEX($B$17:$B$28,MATCH(LARGE($AN$17:$AN$28,3),$AN$17:$AN$28,0)))</f>
        <v/>
      </c>
      <c r="AK34" s="28"/>
      <c r="AL34" s="28"/>
      <c r="AM34" s="29" t="str">
        <f aca="false">IF(AJ34="","",INDEX($AM$17:$AM$28,MATCH(LARGE($AN$17:$AN$28,3),$AN$17:$AN$28,0)))</f>
        <v/>
      </c>
      <c r="AN34" s="1"/>
      <c r="AO34" s="1"/>
    </row>
    <row r="35" customFormat="false" ht="15.75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27" t="n">
        <v>4</v>
      </c>
      <c r="AJ35" s="28" t="str">
        <f aca="false">IF(LARGE($AN$17:$AN$28,4)&lt;0,"",INDEX($B$17:$B$28,MATCH(LARGE($AN$17:$AN$28,4),$AN$17:$AN$28,0)))</f>
        <v/>
      </c>
      <c r="AK35" s="28"/>
      <c r="AL35" s="28"/>
      <c r="AM35" s="29" t="str">
        <f aca="false">IF(AJ35="","",INDEX($AM$17:$AM$28,MATCH(LARGE($AN$17:$AN$28,4),$AN$17:$AN$28,0)))</f>
        <v/>
      </c>
      <c r="AN35" s="1"/>
      <c r="AO35" s="1"/>
    </row>
    <row r="36" customFormat="false" ht="15.75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27" t="n">
        <v>5</v>
      </c>
      <c r="AJ36" s="28" t="str">
        <f aca="false">IF(LARGE($AN$17:$AN$28,5)&lt;0,"",INDEX($B$17:$B$28,MATCH(LARGE($AN$17:$AN$28,5),$AN$17:$AN$28,0)))</f>
        <v/>
      </c>
      <c r="AK36" s="28"/>
      <c r="AL36" s="28"/>
      <c r="AM36" s="29" t="str">
        <f aca="false">IF(AJ36="","",INDEX($AM$17:$AM$28,MATCH(LARGE($AN$17:$AN$28,5),$AN$17:$AN$28,0)))</f>
        <v/>
      </c>
      <c r="AN36" s="1"/>
      <c r="AO36" s="1"/>
    </row>
    <row r="37" customFormat="false" ht="15.75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27" t="n">
        <v>6</v>
      </c>
      <c r="AJ37" s="28" t="str">
        <f aca="false">IF(LARGE($AN$17:$AN$28,6)&lt;0,"",INDEX($B$17:$B$28,MATCH(LARGE($AN$17:$AN$28,6),$AN$17:$AN$28,0)))</f>
        <v/>
      </c>
      <c r="AK37" s="28"/>
      <c r="AL37" s="28"/>
      <c r="AM37" s="29" t="str">
        <f aca="false">IF(AJ37="","",INDEX($AM$17:$AM$28,MATCH(LARGE($AN$17:$AN$28,6),$AN$17:$AN$28,0)))</f>
        <v/>
      </c>
      <c r="AN37" s="1"/>
      <c r="AO37" s="1"/>
    </row>
    <row r="38" customFormat="false" ht="15.75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27" t="n">
        <v>7</v>
      </c>
      <c r="AJ38" s="28" t="str">
        <f aca="false">IF(LARGE($AN$17:$AN$28,7)&lt;0,"",INDEX($B$17:$B$28,MATCH(LARGE($AN$17:$AN$28,7),$AN$17:$AN$28,0)))</f>
        <v/>
      </c>
      <c r="AK38" s="28"/>
      <c r="AL38" s="28"/>
      <c r="AM38" s="29" t="str">
        <f aca="false">IF(AJ38="","",INDEX($AM$17:$AM$28,MATCH(LARGE($AN$17:$AN$28,7),$AN$17:$AN$28,0)))</f>
        <v/>
      </c>
      <c r="AN38" s="1"/>
      <c r="AO38" s="1"/>
    </row>
    <row r="39" customFormat="false" ht="15.75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27" t="n">
        <v>8</v>
      </c>
      <c r="AJ39" s="28" t="str">
        <f aca="false">IF(LARGE($AN$17:$AN$28,8)&lt;0,"",INDEX($B$17:$B$28,MATCH(LARGE($AN$17:$AN$28,8),$AN$17:$AN$28,0)))</f>
        <v/>
      </c>
      <c r="AK39" s="28"/>
      <c r="AL39" s="28"/>
      <c r="AM39" s="29" t="str">
        <f aca="false">IF(AJ39="","",INDEX($AM$17:$AM$28,MATCH(LARGE($AN$17:$AN$28,8),$AN$17:$AN$28,0)))</f>
        <v/>
      </c>
      <c r="AN39" s="1"/>
      <c r="AO39" s="1"/>
    </row>
    <row r="40" customFormat="false" ht="15.75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27" t="n">
        <v>9</v>
      </c>
      <c r="AJ40" s="28" t="str">
        <f aca="false">IF(LARGE($AN$17:$AN$28,9)&lt;0,"",INDEX($B$17:$B$28,MATCH(LARGE($AN$17:$AN$28,9),$AN$17:$AN$28,0)))</f>
        <v/>
      </c>
      <c r="AK40" s="28"/>
      <c r="AL40" s="28"/>
      <c r="AM40" s="29" t="str">
        <f aca="false">IF(AJ40="","",INDEX($AM$17:$AM$28,MATCH(LARGE($AN$17:$AN$28,9),$AN$17:$AN$28,0)))</f>
        <v/>
      </c>
      <c r="AN40" s="1"/>
      <c r="AO40" s="1"/>
    </row>
    <row r="41" customFormat="false" ht="15.75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27" t="n">
        <v>10</v>
      </c>
      <c r="AJ41" s="28" t="str">
        <f aca="false">IF(LARGE($AN$17:$AN$28,10)&lt;0,"",INDEX($B$17:$B$28,MATCH(LARGE($AN$17:$AN$28,10),$AN$17:$AN$28,0)))</f>
        <v/>
      </c>
      <c r="AK41" s="28"/>
      <c r="AL41" s="28"/>
      <c r="AM41" s="29" t="str">
        <f aca="false">IF(AJ41="","",INDEX($AM$17:$AM$28,MATCH(LARGE($AN$17:$AN$28,10),$AN$17:$AN$28,0)))</f>
        <v/>
      </c>
      <c r="AN41" s="1"/>
      <c r="AO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</row>
    <row r="48" customFormat="false" ht="15" hidden="true" customHeight="false" outlineLevel="0" collapsed="false">
      <c r="A48" s="1"/>
      <c r="B48" s="1"/>
      <c r="C48" s="1" t="str">
        <f aca="false">IF(C$16="","",C$15)</f>
        <v>Mo</v>
      </c>
      <c r="D48" s="1" t="str">
        <f aca="false">IF(D$16="","",D$15)</f>
        <v>Tu</v>
      </c>
      <c r="E48" s="1" t="str">
        <f aca="false">IF(E$16="","",E$15)</f>
        <v>We</v>
      </c>
      <c r="F48" s="1" t="str">
        <f aca="false">IF(F$16="","",F$15)</f>
        <v>Th</v>
      </c>
      <c r="G48" s="1" t="str">
        <f aca="false">IF(G$16="","",G$15)</f>
        <v>Fr</v>
      </c>
      <c r="H48" s="1" t="str">
        <f aca="false">IF(H$16="","",H$15)</f>
        <v>Sa</v>
      </c>
      <c r="I48" s="1" t="str">
        <f aca="false">IF(I$16="","",I$15)</f>
        <v>Su</v>
      </c>
      <c r="J48" s="1" t="str">
        <f aca="false">IF(J$16="","",J$15)</f>
        <v>Mo</v>
      </c>
      <c r="K48" s="1" t="str">
        <f aca="false">IF(K$16="","",K$15)</f>
        <v>Tu</v>
      </c>
      <c r="L48" s="1" t="str">
        <f aca="false">IF(L$16="","",L$15)</f>
        <v>We</v>
      </c>
      <c r="M48" s="1" t="str">
        <f aca="false">IF(M$16="","",M$15)</f>
        <v>Th</v>
      </c>
      <c r="N48" s="1" t="str">
        <f aca="false">IF(N$16="","",N$15)</f>
        <v>Fr</v>
      </c>
      <c r="O48" s="1" t="str">
        <f aca="false">IF(O$16="","",O$15)</f>
        <v>Sa</v>
      </c>
      <c r="P48" s="1" t="str">
        <f aca="false">IF(P$16="","",P$15)</f>
        <v>Su</v>
      </c>
      <c r="Q48" s="1" t="str">
        <f aca="false">IF(Q$16="","",Q$15)</f>
        <v>Mo</v>
      </c>
      <c r="R48" s="1" t="str">
        <f aca="false">IF(R$16="","",R$15)</f>
        <v>Tu</v>
      </c>
      <c r="S48" s="1" t="str">
        <f aca="false">IF(S$16="","",S$15)</f>
        <v>We</v>
      </c>
      <c r="T48" s="1" t="str">
        <f aca="false">IF(T$16="","",T$15)</f>
        <v>Th</v>
      </c>
      <c r="U48" s="1" t="str">
        <f aca="false">IF(U$16="","",U$15)</f>
        <v>Fr</v>
      </c>
      <c r="V48" s="1" t="str">
        <f aca="false">IF(V$16="","",V$15)</f>
        <v>Sa</v>
      </c>
      <c r="W48" s="1" t="str">
        <f aca="false">IF(W$16="","",W$15)</f>
        <v>Su</v>
      </c>
      <c r="X48" s="1" t="str">
        <f aca="false">IF(X$16="","",X$15)</f>
        <v>Mo</v>
      </c>
      <c r="Y48" s="1" t="str">
        <f aca="false">IF(Y$16="","",Y$15)</f>
        <v>Tu</v>
      </c>
      <c r="Z48" s="1" t="str">
        <f aca="false">IF(Z$16="","",Z$15)</f>
        <v>We</v>
      </c>
      <c r="AA48" s="1" t="str">
        <f aca="false">IF(AA$16="","",AA$15)</f>
        <v>Th</v>
      </c>
      <c r="AB48" s="1" t="str">
        <f aca="false">IF(AB$16="","",AB$15)</f>
        <v>Fr</v>
      </c>
      <c r="AC48" s="1" t="str">
        <f aca="false">IF(AC$16="","",AC$15)</f>
        <v>Sa</v>
      </c>
      <c r="AD48" s="1" t="str">
        <f aca="false">IF(AD$16="","",AD$15)</f>
        <v>Su</v>
      </c>
      <c r="AE48" s="1" t="str">
        <f aca="false">IF(AE$16="","",AE$15)</f>
        <v>Mo</v>
      </c>
      <c r="AF48" s="1" t="str">
        <f aca="false">IF(AF$16="","",AF$15)</f>
        <v>Tu</v>
      </c>
      <c r="AG48" s="1" t="str">
        <f aca="false">IF(AG$16="","",AG$15)</f>
        <v/>
      </c>
      <c r="AH48" s="1"/>
      <c r="AI48" s="1"/>
      <c r="AJ48" s="1"/>
      <c r="AK48" s="1"/>
      <c r="AL48" s="1"/>
      <c r="AM48" s="1"/>
      <c r="AN48" s="1"/>
      <c r="AO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</row>
  </sheetData>
  <mergeCells count="31">
    <mergeCell ref="B2:B3"/>
    <mergeCell ref="C2:Z2"/>
    <mergeCell ref="AA2:AG2"/>
    <mergeCell ref="AI2:AJ2"/>
    <mergeCell ref="AK2:AM2"/>
    <mergeCell ref="AI3:AJ4"/>
    <mergeCell ref="AK3:AM4"/>
    <mergeCell ref="AI5:AJ5"/>
    <mergeCell ref="AI6:AJ7"/>
    <mergeCell ref="AI8:AJ8"/>
    <mergeCell ref="AI9:AJ10"/>
    <mergeCell ref="B10:B12"/>
    <mergeCell ref="B14:B16"/>
    <mergeCell ref="C14:I14"/>
    <mergeCell ref="J14:P14"/>
    <mergeCell ref="Q14:W14"/>
    <mergeCell ref="X14:AD14"/>
    <mergeCell ref="AE14:AG14"/>
    <mergeCell ref="AI14:AM15"/>
    <mergeCell ref="C31:AG31"/>
    <mergeCell ref="AI31:AM31"/>
    <mergeCell ref="AJ32:AL32"/>
    <mergeCell ref="AJ33:AL33"/>
    <mergeCell ref="AJ34:AL34"/>
    <mergeCell ref="AJ35:AL35"/>
    <mergeCell ref="AJ36:AL36"/>
    <mergeCell ref="AJ37:AL37"/>
    <mergeCell ref="AJ38:AL38"/>
    <mergeCell ref="AJ39:AL39"/>
    <mergeCell ref="AJ40:AL40"/>
    <mergeCell ref="AJ41:AL41"/>
  </mergeCells>
  <conditionalFormatting sqref="C17:AG28">
    <cfRule type="expression" priority="2" aboveAverage="0" equalAverage="0" bottom="0" percent="0" rank="0" text="" dxfId="0">
      <formula>C$16=""</formula>
    </cfRule>
    <cfRule type="expression" priority="3" aboveAverage="0" equalAverage="0" bottom="0" percent="0" rank="0" text="" dxfId="1">
      <formula>C17=1</formula>
    </cfRule>
    <cfRule type="expression" priority="4" aboveAverage="0" equalAverage="0" bottom="0" percent="0" rank="0" text="" dxfId="2">
      <formula>C17=0</formula>
    </cfRule>
  </conditionalFormatting>
  <conditionalFormatting sqref="C32:AG33">
    <cfRule type="expression" priority="5" aboveAverage="0" equalAverage="0" bottom="0" percent="0" rank="0" text="" dxfId="3">
      <formula>C$16=""</formula>
    </cfRule>
  </conditionalFormatting>
  <conditionalFormatting sqref="AL17:AL28">
    <cfRule type="dataBar" priority="6">
      <dataBar showValue="1" minLength="10" maxLength="90">
        <cfvo type="num" val="0"/>
        <cfvo type="num" val="1"/>
        <color rgb="FF1F2433"/>
      </dataBar>
      <extLst>
        <ext xmlns:x14="http://schemas.microsoft.com/office/spreadsheetml/2009/9/main" uri="{B025F937-C7B1-47D3-B67F-A62EFF666E3E}">
          <x14:id>{1B611488-E2F0-4B4A-871A-5E4B8C76DA93}</x14:id>
        </ext>
      </extLst>
    </cfRule>
  </conditionalFormatting>
  <dataValidations count="4">
    <dataValidation allowBlank="false" errorStyle="stop" operator="between" showDropDown="false" showErrorMessage="false" showInputMessage="false" sqref="B9" type="list">
      <formula1>"January,February,March,April,May,June,July,August,September,October,November,December"</formula1>
      <formula2>0</formula2>
    </dataValidation>
    <dataValidation allowBlank="true" errorStyle="stop" operator="between" showDropDown="false" showErrorMessage="false" showInputMessage="false" sqref="C17:AG28" type="list">
      <formula1>"TRUE,FALSE"</formula1>
      <formula2>0</formula2>
    </dataValidation>
    <dataValidation allowBlank="true" errorStyle="stop" operator="between" showDropDown="false" showErrorMessage="false" showInputMessage="false" sqref="C32:AG32" type="list">
      <formula1>"1,2,3,4,5,6,7,8,9,10"</formula1>
      <formula2>0</formula2>
    </dataValidation>
    <dataValidation allowBlank="true" errorStyle="stop" operator="between" showDropDown="false" showErrorMessage="false" showInputMessage="false" sqref="C33:AG33" type="list">
      <formula1>"0,1,2,3,4,5,6,7,8,9,10,11,12"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B611488-E2F0-4B4A-871A-5E4B8C76DA93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1F2433"/>
              <x14:axisColor rgb="FF000000"/>
            </x14:dataBar>
          </x14:cfRule>
          <xm:sqref>AL17:AL28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433"/>
    <pageSetUpPr fitToPage="false"/>
  </sheetPr>
  <dimension ref="A1:AQ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0" topLeftCell="C1" activePane="topRight" state="frozen"/>
      <selection pane="topLeft" activeCell="A1" activeCellId="0" sqref="A1"/>
      <selection pane="top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3" min="3" style="0" width="3.9"/>
    <col collapsed="false" customWidth="true" hidden="false" outlineLevel="0" max="34" min="34" style="0" width="2"/>
    <col collapsed="false" customWidth="true" hidden="false" outlineLevel="0" max="36" min="35" style="0" width="8"/>
    <col collapsed="false" customWidth="true" hidden="false" outlineLevel="0" max="37" min="37" style="0" width="7"/>
    <col collapsed="false" customWidth="true" hidden="false" outlineLevel="0" max="38" min="38" style="0" width="14"/>
    <col collapsed="false" customWidth="true" hidden="false" outlineLevel="0" max="39" min="39" style="0" width="8"/>
    <col collapsed="false" customWidth="true" hidden="true" outlineLevel="0" max="43" min="40" style="0" width="13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Q1" s="2" t="s">
        <v>0</v>
      </c>
    </row>
    <row r="2" customFormat="false" ht="21.75" hidden="false" customHeight="true" outlineLevel="0" collapsed="false">
      <c r="A2" s="1"/>
      <c r="B2" s="3" t="s">
        <v>1</v>
      </c>
      <c r="C2" s="4" t="s">
        <v>2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 t="s">
        <v>3</v>
      </c>
      <c r="AB2" s="4"/>
      <c r="AC2" s="4"/>
      <c r="AD2" s="4"/>
      <c r="AE2" s="4"/>
      <c r="AF2" s="4"/>
      <c r="AG2" s="4"/>
      <c r="AH2" s="1"/>
      <c r="AI2" s="4" t="s">
        <v>4</v>
      </c>
      <c r="AJ2" s="4"/>
      <c r="AK2" s="4" t="s">
        <v>5</v>
      </c>
      <c r="AL2" s="4"/>
      <c r="AM2" s="4"/>
      <c r="AN2" s="1"/>
      <c r="AO2" s="1" t="s">
        <v>6</v>
      </c>
      <c r="AP2" s="2" t="n">
        <f aca="false">MATCH($B$9,$AQ$1:$AQ$12,0)</f>
        <v>7</v>
      </c>
      <c r="AQ2" s="2" t="s">
        <v>7</v>
      </c>
    </row>
    <row r="3" customFormat="false" ht="15.75" hidden="false" customHeight="true" outlineLevel="0" collapsed="false">
      <c r="A3" s="1"/>
      <c r="B3" s="3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5" t="n">
        <f aca="false">SUMPRODUCT(--(LEN($B$17:$B$28)&gt;0))*$AP$3</f>
        <v>310</v>
      </c>
      <c r="AJ3" s="5"/>
      <c r="AK3" s="6" t="n">
        <f aca="false">IF(AI3=0,0,AI6/AI3)</f>
        <v>0</v>
      </c>
      <c r="AL3" s="6"/>
      <c r="AM3" s="6"/>
      <c r="AN3" s="1"/>
      <c r="AO3" s="1" t="s">
        <v>8</v>
      </c>
      <c r="AP3" s="2" t="n">
        <f aca="false">DAY(DATE($B$7,$AP$2+1,0))</f>
        <v>31</v>
      </c>
      <c r="AQ3" s="2" t="s">
        <v>9</v>
      </c>
    </row>
    <row r="4" customFormat="false" ht="15.7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5"/>
      <c r="AJ4" s="5"/>
      <c r="AK4" s="6"/>
      <c r="AL4" s="6"/>
      <c r="AM4" s="6"/>
      <c r="AN4" s="1"/>
      <c r="AO4" s="1"/>
      <c r="AQ4" s="2" t="s">
        <v>10</v>
      </c>
    </row>
    <row r="5" customFormat="false" ht="15.75" hidden="false" customHeight="true" outlineLevel="0" collapsed="false">
      <c r="A5" s="1"/>
      <c r="B5" s="7" t="s">
        <v>11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4" t="s">
        <v>12</v>
      </c>
      <c r="AJ5" s="4"/>
      <c r="AK5" s="1"/>
      <c r="AL5" s="1"/>
      <c r="AM5" s="1"/>
      <c r="AN5" s="1"/>
      <c r="AO5" s="1" t="s">
        <v>12</v>
      </c>
      <c r="AP5" s="2" t="n">
        <f aca="false">AI6</f>
        <v>0</v>
      </c>
      <c r="AQ5" s="2" t="s">
        <v>13</v>
      </c>
    </row>
    <row r="6" customFormat="false" ht="15.75" hidden="false" customHeight="true" outlineLevel="0" collapsed="false">
      <c r="A6" s="1"/>
      <c r="B6" s="8" t="s">
        <v>14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5" t="n">
        <f aca="false">SUMPRODUCT(($B$17:$B$28&lt;&gt;"")*($C$17:$AG$28=TRUE()))</f>
        <v>0</v>
      </c>
      <c r="AJ6" s="5"/>
      <c r="AK6" s="1"/>
      <c r="AL6" s="1"/>
      <c r="AM6" s="1"/>
      <c r="AN6" s="1"/>
      <c r="AO6" s="1" t="s">
        <v>15</v>
      </c>
      <c r="AP6" s="2" t="n">
        <f aca="false">AI9</f>
        <v>310</v>
      </c>
      <c r="AQ6" s="2" t="s">
        <v>16</v>
      </c>
    </row>
    <row r="7" customFormat="false" ht="15.75" hidden="false" customHeight="true" outlineLevel="0" collapsed="false">
      <c r="A7" s="1"/>
      <c r="B7" s="30" t="n">
        <f aca="false">January!$B$7</f>
        <v>2026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5"/>
      <c r="AJ7" s="5"/>
      <c r="AK7" s="1"/>
      <c r="AL7" s="1"/>
      <c r="AM7" s="1"/>
      <c r="AN7" s="1"/>
      <c r="AO7" s="1"/>
      <c r="AQ7" s="2" t="s">
        <v>17</v>
      </c>
    </row>
    <row r="8" customFormat="false" ht="15.75" hidden="false" customHeight="true" outlineLevel="0" collapsed="false">
      <c r="A8" s="1"/>
      <c r="B8" s="8" t="s">
        <v>18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4" t="s">
        <v>15</v>
      </c>
      <c r="AJ8" s="4"/>
      <c r="AK8" s="1"/>
      <c r="AL8" s="1"/>
      <c r="AM8" s="1"/>
      <c r="AN8" s="1"/>
      <c r="AO8" s="1" t="s">
        <v>19</v>
      </c>
      <c r="AP8" s="2" t="n">
        <f aca="false">IF(OR(COUNTIF(C$16:I$16,"&gt;0")=0,SUMPRODUCT(--(LEN($B$17:$B$28)&gt;0))=0),0,SUMPRODUCT(($B$17:$B$28&lt;&gt;"")*(C$17:I$28=TRUE()))/(SUMPRODUCT(--(LEN($B$17:$B$28)&gt;0))*COUNTIF(C$16:I$16,"&gt;0")))</f>
        <v>0</v>
      </c>
      <c r="AQ8" s="2" t="s">
        <v>20</v>
      </c>
    </row>
    <row r="9" customFormat="false" ht="15.75" hidden="false" customHeight="true" outlineLevel="0" collapsed="false">
      <c r="A9" s="1"/>
      <c r="B9" s="9" t="s">
        <v>17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5" t="n">
        <f aca="false">AI3-AI6</f>
        <v>310</v>
      </c>
      <c r="AJ9" s="5"/>
      <c r="AK9" s="1"/>
      <c r="AL9" s="1"/>
      <c r="AM9" s="1"/>
      <c r="AN9" s="1"/>
      <c r="AO9" s="1" t="s">
        <v>21</v>
      </c>
      <c r="AP9" s="2" t="n">
        <f aca="false">IF(OR(COUNTIF(J$16:P$16,"&gt;0")=0,SUMPRODUCT(--(LEN($B$17:$B$28)&gt;0))=0),0,SUMPRODUCT(($B$17:$B$28&lt;&gt;"")*(J$17:P$28=TRUE()))/(SUMPRODUCT(--(LEN($B$17:$B$28)&gt;0))*COUNTIF(J$16:P$16,"&gt;0")))</f>
        <v>0</v>
      </c>
      <c r="AQ9" s="2" t="s">
        <v>22</v>
      </c>
    </row>
    <row r="10" customFormat="false" ht="15.75" hidden="false" customHeight="true" outlineLevel="0" collapsed="false">
      <c r="A10" s="1"/>
      <c r="B10" s="10" t="s">
        <v>23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5"/>
      <c r="AJ10" s="5"/>
      <c r="AK10" s="1"/>
      <c r="AL10" s="1"/>
      <c r="AM10" s="1"/>
      <c r="AN10" s="1"/>
      <c r="AO10" s="1" t="s">
        <v>24</v>
      </c>
      <c r="AP10" s="2" t="n">
        <f aca="false">IF(OR(COUNTIF(Q$16:W$16,"&gt;0")=0,SUMPRODUCT(--(LEN($B$17:$B$28)&gt;0))=0),0,SUMPRODUCT(($B$17:$B$28&lt;&gt;"")*(Q$17:W$28=TRUE()))/(SUMPRODUCT(--(LEN($B$17:$B$28)&gt;0))*COUNTIF(Q$16:W$16,"&gt;0")))</f>
        <v>0</v>
      </c>
      <c r="AQ10" s="2" t="s">
        <v>25</v>
      </c>
    </row>
    <row r="11" customFormat="false" ht="15.75" hidden="false" customHeight="true" outlineLevel="0" collapsed="false">
      <c r="A11" s="1"/>
      <c r="B11" s="10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 t="s">
        <v>26</v>
      </c>
      <c r="AP11" s="2" t="n">
        <f aca="false">IF(OR(COUNTIF(X$16:AD$16,"&gt;0")=0,SUMPRODUCT(--(LEN($B$17:$B$28)&gt;0))=0),0,SUMPRODUCT(($B$17:$B$28&lt;&gt;"")*(X$17:AD$28=TRUE()))/(SUMPRODUCT(--(LEN($B$17:$B$28)&gt;0))*COUNTIF(X$16:AD$16,"&gt;0")))</f>
        <v>0</v>
      </c>
      <c r="AQ11" s="2" t="s">
        <v>27</v>
      </c>
    </row>
    <row r="12" customFormat="false" ht="15.75" hidden="false" customHeight="true" outlineLevel="0" collapsed="false">
      <c r="A12" s="1"/>
      <c r="B12" s="10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 t="s">
        <v>28</v>
      </c>
      <c r="AP12" s="2" t="n">
        <f aca="false">IF(OR(COUNTIF(AE$16:AG$16,"&gt;0")=0,SUMPRODUCT(--(LEN($B$17:$B$28)&gt;0))=0),0,SUMPRODUCT(($B$17:$B$28&lt;&gt;"")*(AE$17:AG$28=TRUE()))/(SUMPRODUCT(--(LEN($B$17:$B$28)&gt;0))*COUNTIF(AE$16:AG$16,"&gt;0")))</f>
        <v>0</v>
      </c>
      <c r="AQ12" s="2" t="s">
        <v>29</v>
      </c>
    </row>
    <row r="13" customFormat="false" ht="15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</row>
    <row r="14" customFormat="false" ht="15" hidden="false" customHeight="false" outlineLevel="0" collapsed="false">
      <c r="A14" s="1"/>
      <c r="B14" s="11" t="s">
        <v>30</v>
      </c>
      <c r="C14" s="12" t="s">
        <v>19</v>
      </c>
      <c r="D14" s="12"/>
      <c r="E14" s="12"/>
      <c r="F14" s="12"/>
      <c r="G14" s="12"/>
      <c r="H14" s="12"/>
      <c r="I14" s="12"/>
      <c r="J14" s="12" t="s">
        <v>21</v>
      </c>
      <c r="K14" s="12"/>
      <c r="L14" s="12"/>
      <c r="M14" s="12"/>
      <c r="N14" s="12"/>
      <c r="O14" s="12"/>
      <c r="P14" s="12"/>
      <c r="Q14" s="12" t="s">
        <v>24</v>
      </c>
      <c r="R14" s="12"/>
      <c r="S14" s="12"/>
      <c r="T14" s="12"/>
      <c r="U14" s="12"/>
      <c r="V14" s="12"/>
      <c r="W14" s="12"/>
      <c r="X14" s="12" t="s">
        <v>26</v>
      </c>
      <c r="Y14" s="12"/>
      <c r="Z14" s="12"/>
      <c r="AA14" s="12"/>
      <c r="AB14" s="12"/>
      <c r="AC14" s="12"/>
      <c r="AD14" s="12"/>
      <c r="AE14" s="12" t="s">
        <v>28</v>
      </c>
      <c r="AF14" s="12"/>
      <c r="AG14" s="12"/>
      <c r="AH14" s="1"/>
      <c r="AI14" s="13" t="s">
        <v>31</v>
      </c>
      <c r="AJ14" s="13"/>
      <c r="AK14" s="13"/>
      <c r="AL14" s="13"/>
      <c r="AM14" s="13"/>
      <c r="AN14" s="1"/>
      <c r="AO14" s="1"/>
    </row>
    <row r="15" customFormat="false" ht="15" hidden="false" customHeight="false" outlineLevel="0" collapsed="false">
      <c r="A15" s="1"/>
      <c r="B15" s="11"/>
      <c r="C15" s="14" t="str">
        <f aca="false">IF(1&gt;$AP$3,"",CHOOSE(WEEKDAY(DATE($B$7,$AP$2,1)),"Su","Mo","Tu","We","Th","Fr","Sa"))</f>
        <v>We</v>
      </c>
      <c r="D15" s="14" t="str">
        <f aca="false">IF(2&gt;$AP$3,"",CHOOSE(WEEKDAY(DATE($B$7,$AP$2,2)),"Su","Mo","Tu","We","Th","Fr","Sa"))</f>
        <v>Th</v>
      </c>
      <c r="E15" s="14" t="str">
        <f aca="false">IF(3&gt;$AP$3,"",CHOOSE(WEEKDAY(DATE($B$7,$AP$2,3)),"Su","Mo","Tu","We","Th","Fr","Sa"))</f>
        <v>Fr</v>
      </c>
      <c r="F15" s="14" t="str">
        <f aca="false">IF(4&gt;$AP$3,"",CHOOSE(WEEKDAY(DATE($B$7,$AP$2,4)),"Su","Mo","Tu","We","Th","Fr","Sa"))</f>
        <v>Sa</v>
      </c>
      <c r="G15" s="14" t="str">
        <f aca="false">IF(5&gt;$AP$3,"",CHOOSE(WEEKDAY(DATE($B$7,$AP$2,5)),"Su","Mo","Tu","We","Th","Fr","Sa"))</f>
        <v>Su</v>
      </c>
      <c r="H15" s="14" t="str">
        <f aca="false">IF(6&gt;$AP$3,"",CHOOSE(WEEKDAY(DATE($B$7,$AP$2,6)),"Su","Mo","Tu","We","Th","Fr","Sa"))</f>
        <v>Mo</v>
      </c>
      <c r="I15" s="14" t="str">
        <f aca="false">IF(7&gt;$AP$3,"",CHOOSE(WEEKDAY(DATE($B$7,$AP$2,7)),"Su","Mo","Tu","We","Th","Fr","Sa"))</f>
        <v>Tu</v>
      </c>
      <c r="J15" s="14" t="str">
        <f aca="false">IF(8&gt;$AP$3,"",CHOOSE(WEEKDAY(DATE($B$7,$AP$2,8)),"Su","Mo","Tu","We","Th","Fr","Sa"))</f>
        <v>We</v>
      </c>
      <c r="K15" s="14" t="str">
        <f aca="false">IF(9&gt;$AP$3,"",CHOOSE(WEEKDAY(DATE($B$7,$AP$2,9)),"Su","Mo","Tu","We","Th","Fr","Sa"))</f>
        <v>Th</v>
      </c>
      <c r="L15" s="14" t="str">
        <f aca="false">IF(10&gt;$AP$3,"",CHOOSE(WEEKDAY(DATE($B$7,$AP$2,10)),"Su","Mo","Tu","We","Th","Fr","Sa"))</f>
        <v>Fr</v>
      </c>
      <c r="M15" s="14" t="str">
        <f aca="false">IF(11&gt;$AP$3,"",CHOOSE(WEEKDAY(DATE($B$7,$AP$2,11)),"Su","Mo","Tu","We","Th","Fr","Sa"))</f>
        <v>Sa</v>
      </c>
      <c r="N15" s="14" t="str">
        <f aca="false">IF(12&gt;$AP$3,"",CHOOSE(WEEKDAY(DATE($B$7,$AP$2,12)),"Su","Mo","Tu","We","Th","Fr","Sa"))</f>
        <v>Su</v>
      </c>
      <c r="O15" s="14" t="str">
        <f aca="false">IF(13&gt;$AP$3,"",CHOOSE(WEEKDAY(DATE($B$7,$AP$2,13)),"Su","Mo","Tu","We","Th","Fr","Sa"))</f>
        <v>Mo</v>
      </c>
      <c r="P15" s="14" t="str">
        <f aca="false">IF(14&gt;$AP$3,"",CHOOSE(WEEKDAY(DATE($B$7,$AP$2,14)),"Su","Mo","Tu","We","Th","Fr","Sa"))</f>
        <v>Tu</v>
      </c>
      <c r="Q15" s="14" t="str">
        <f aca="false">IF(15&gt;$AP$3,"",CHOOSE(WEEKDAY(DATE($B$7,$AP$2,15)),"Su","Mo","Tu","We","Th","Fr","Sa"))</f>
        <v>We</v>
      </c>
      <c r="R15" s="14" t="str">
        <f aca="false">IF(16&gt;$AP$3,"",CHOOSE(WEEKDAY(DATE($B$7,$AP$2,16)),"Su","Mo","Tu","We","Th","Fr","Sa"))</f>
        <v>Th</v>
      </c>
      <c r="S15" s="14" t="str">
        <f aca="false">IF(17&gt;$AP$3,"",CHOOSE(WEEKDAY(DATE($B$7,$AP$2,17)),"Su","Mo","Tu","We","Th","Fr","Sa"))</f>
        <v>Fr</v>
      </c>
      <c r="T15" s="14" t="str">
        <f aca="false">IF(18&gt;$AP$3,"",CHOOSE(WEEKDAY(DATE($B$7,$AP$2,18)),"Su","Mo","Tu","We","Th","Fr","Sa"))</f>
        <v>Sa</v>
      </c>
      <c r="U15" s="14" t="str">
        <f aca="false">IF(19&gt;$AP$3,"",CHOOSE(WEEKDAY(DATE($B$7,$AP$2,19)),"Su","Mo","Tu","We","Th","Fr","Sa"))</f>
        <v>Su</v>
      </c>
      <c r="V15" s="14" t="str">
        <f aca="false">IF(20&gt;$AP$3,"",CHOOSE(WEEKDAY(DATE($B$7,$AP$2,20)),"Su","Mo","Tu","We","Th","Fr","Sa"))</f>
        <v>Mo</v>
      </c>
      <c r="W15" s="14" t="str">
        <f aca="false">IF(21&gt;$AP$3,"",CHOOSE(WEEKDAY(DATE($B$7,$AP$2,21)),"Su","Mo","Tu","We","Th","Fr","Sa"))</f>
        <v>Tu</v>
      </c>
      <c r="X15" s="14" t="str">
        <f aca="false">IF(22&gt;$AP$3,"",CHOOSE(WEEKDAY(DATE($B$7,$AP$2,22)),"Su","Mo","Tu","We","Th","Fr","Sa"))</f>
        <v>We</v>
      </c>
      <c r="Y15" s="14" t="str">
        <f aca="false">IF(23&gt;$AP$3,"",CHOOSE(WEEKDAY(DATE($B$7,$AP$2,23)),"Su","Mo","Tu","We","Th","Fr","Sa"))</f>
        <v>Th</v>
      </c>
      <c r="Z15" s="14" t="str">
        <f aca="false">IF(24&gt;$AP$3,"",CHOOSE(WEEKDAY(DATE($B$7,$AP$2,24)),"Su","Mo","Tu","We","Th","Fr","Sa"))</f>
        <v>Fr</v>
      </c>
      <c r="AA15" s="14" t="str">
        <f aca="false">IF(25&gt;$AP$3,"",CHOOSE(WEEKDAY(DATE($B$7,$AP$2,25)),"Su","Mo","Tu","We","Th","Fr","Sa"))</f>
        <v>Sa</v>
      </c>
      <c r="AB15" s="14" t="str">
        <f aca="false">IF(26&gt;$AP$3,"",CHOOSE(WEEKDAY(DATE($B$7,$AP$2,26)),"Su","Mo","Tu","We","Th","Fr","Sa"))</f>
        <v>Su</v>
      </c>
      <c r="AC15" s="14" t="str">
        <f aca="false">IF(27&gt;$AP$3,"",CHOOSE(WEEKDAY(DATE($B$7,$AP$2,27)),"Su","Mo","Tu","We","Th","Fr","Sa"))</f>
        <v>Mo</v>
      </c>
      <c r="AD15" s="14" t="str">
        <f aca="false">IF(28&gt;$AP$3,"",CHOOSE(WEEKDAY(DATE($B$7,$AP$2,28)),"Su","Mo","Tu","We","Th","Fr","Sa"))</f>
        <v>Tu</v>
      </c>
      <c r="AE15" s="14" t="str">
        <f aca="false">IF(29&gt;$AP$3,"",CHOOSE(WEEKDAY(DATE($B$7,$AP$2,29)),"Su","Mo","Tu","We","Th","Fr","Sa"))</f>
        <v>We</v>
      </c>
      <c r="AF15" s="14" t="str">
        <f aca="false">IF(30&gt;$AP$3,"",CHOOSE(WEEKDAY(DATE($B$7,$AP$2,30)),"Su","Mo","Tu","We","Th","Fr","Sa"))</f>
        <v>Th</v>
      </c>
      <c r="AG15" s="14" t="str">
        <f aca="false">IF(31&gt;$AP$3,"",CHOOSE(WEEKDAY(DATE($B$7,$AP$2,31)),"Su","Mo","Tu","We","Th","Fr","Sa"))</f>
        <v>Fr</v>
      </c>
      <c r="AH15" s="1"/>
      <c r="AI15" s="13"/>
      <c r="AJ15" s="13"/>
      <c r="AK15" s="13"/>
      <c r="AL15" s="13"/>
      <c r="AM15" s="13"/>
      <c r="AN15" s="1"/>
      <c r="AO15" s="1"/>
    </row>
    <row r="16" customFormat="false" ht="15" hidden="false" customHeight="false" outlineLevel="0" collapsed="false">
      <c r="A16" s="1"/>
      <c r="B16" s="11"/>
      <c r="C16" s="14" t="n">
        <f aca="false">IF(1&gt;$AP$3,"",1)</f>
        <v>1</v>
      </c>
      <c r="D16" s="14" t="n">
        <f aca="false">IF(2&gt;$AP$3,"",2)</f>
        <v>2</v>
      </c>
      <c r="E16" s="14" t="n">
        <f aca="false">IF(3&gt;$AP$3,"",3)</f>
        <v>3</v>
      </c>
      <c r="F16" s="14" t="n">
        <f aca="false">IF(4&gt;$AP$3,"",4)</f>
        <v>4</v>
      </c>
      <c r="G16" s="14" t="n">
        <f aca="false">IF(5&gt;$AP$3,"",5)</f>
        <v>5</v>
      </c>
      <c r="H16" s="14" t="n">
        <f aca="false">IF(6&gt;$AP$3,"",6)</f>
        <v>6</v>
      </c>
      <c r="I16" s="14" t="n">
        <f aca="false">IF(7&gt;$AP$3,"",7)</f>
        <v>7</v>
      </c>
      <c r="J16" s="14" t="n">
        <f aca="false">IF(8&gt;$AP$3,"",8)</f>
        <v>8</v>
      </c>
      <c r="K16" s="14" t="n">
        <f aca="false">IF(9&gt;$AP$3,"",9)</f>
        <v>9</v>
      </c>
      <c r="L16" s="14" t="n">
        <f aca="false">IF(10&gt;$AP$3,"",10)</f>
        <v>10</v>
      </c>
      <c r="M16" s="14" t="n">
        <f aca="false">IF(11&gt;$AP$3,"",11)</f>
        <v>11</v>
      </c>
      <c r="N16" s="14" t="n">
        <f aca="false">IF(12&gt;$AP$3,"",12)</f>
        <v>12</v>
      </c>
      <c r="O16" s="14" t="n">
        <f aca="false">IF(13&gt;$AP$3,"",13)</f>
        <v>13</v>
      </c>
      <c r="P16" s="14" t="n">
        <f aca="false">IF(14&gt;$AP$3,"",14)</f>
        <v>14</v>
      </c>
      <c r="Q16" s="14" t="n">
        <f aca="false">IF(15&gt;$AP$3,"",15)</f>
        <v>15</v>
      </c>
      <c r="R16" s="14" t="n">
        <f aca="false">IF(16&gt;$AP$3,"",16)</f>
        <v>16</v>
      </c>
      <c r="S16" s="14" t="n">
        <f aca="false">IF(17&gt;$AP$3,"",17)</f>
        <v>17</v>
      </c>
      <c r="T16" s="14" t="n">
        <f aca="false">IF(18&gt;$AP$3,"",18)</f>
        <v>18</v>
      </c>
      <c r="U16" s="14" t="n">
        <f aca="false">IF(19&gt;$AP$3,"",19)</f>
        <v>19</v>
      </c>
      <c r="V16" s="14" t="n">
        <f aca="false">IF(20&gt;$AP$3,"",20)</f>
        <v>20</v>
      </c>
      <c r="W16" s="14" t="n">
        <f aca="false">IF(21&gt;$AP$3,"",21)</f>
        <v>21</v>
      </c>
      <c r="X16" s="14" t="n">
        <f aca="false">IF(22&gt;$AP$3,"",22)</f>
        <v>22</v>
      </c>
      <c r="Y16" s="14" t="n">
        <f aca="false">IF(23&gt;$AP$3,"",23)</f>
        <v>23</v>
      </c>
      <c r="Z16" s="14" t="n">
        <f aca="false">IF(24&gt;$AP$3,"",24)</f>
        <v>24</v>
      </c>
      <c r="AA16" s="14" t="n">
        <f aca="false">IF(25&gt;$AP$3,"",25)</f>
        <v>25</v>
      </c>
      <c r="AB16" s="14" t="n">
        <f aca="false">IF(26&gt;$AP$3,"",26)</f>
        <v>26</v>
      </c>
      <c r="AC16" s="14" t="n">
        <f aca="false">IF(27&gt;$AP$3,"",27)</f>
        <v>27</v>
      </c>
      <c r="AD16" s="14" t="n">
        <f aca="false">IF(28&gt;$AP$3,"",28)</f>
        <v>28</v>
      </c>
      <c r="AE16" s="14" t="n">
        <f aca="false">IF(29&gt;$AP$3,"",29)</f>
        <v>29</v>
      </c>
      <c r="AF16" s="14" t="n">
        <f aca="false">IF(30&gt;$AP$3,"",30)</f>
        <v>30</v>
      </c>
      <c r="AG16" s="14" t="n">
        <f aca="false">IF(31&gt;$AP$3,"",31)</f>
        <v>31</v>
      </c>
      <c r="AH16" s="1"/>
      <c r="AI16" s="15" t="s">
        <v>4</v>
      </c>
      <c r="AJ16" s="15" t="s">
        <v>32</v>
      </c>
      <c r="AK16" s="15" t="s">
        <v>15</v>
      </c>
      <c r="AL16" s="15" t="s">
        <v>33</v>
      </c>
      <c r="AM16" s="15" t="s">
        <v>34</v>
      </c>
      <c r="AN16" s="1"/>
      <c r="AO16" s="1"/>
    </row>
    <row r="17" customFormat="false" ht="18" hidden="false" customHeight="true" outlineLevel="0" collapsed="false">
      <c r="A17" s="1"/>
      <c r="B17" s="16" t="s">
        <v>35</v>
      </c>
      <c r="C17" s="17" t="b">
        <f aca="false">FALSE()</f>
        <v>0</v>
      </c>
      <c r="D17" s="17" t="b">
        <f aca="false">FALSE()</f>
        <v>0</v>
      </c>
      <c r="E17" s="17" t="b">
        <f aca="false">FALSE()</f>
        <v>0</v>
      </c>
      <c r="F17" s="17" t="b">
        <f aca="false">FALSE()</f>
        <v>0</v>
      </c>
      <c r="G17" s="17" t="b">
        <f aca="false">FALSE()</f>
        <v>0</v>
      </c>
      <c r="H17" s="17" t="b">
        <f aca="false">FALSE()</f>
        <v>0</v>
      </c>
      <c r="I17" s="17" t="b">
        <f aca="false">FALSE()</f>
        <v>0</v>
      </c>
      <c r="J17" s="17" t="b">
        <f aca="false">FALSE()</f>
        <v>0</v>
      </c>
      <c r="K17" s="17" t="b">
        <f aca="false">FALSE()</f>
        <v>0</v>
      </c>
      <c r="L17" s="17" t="b">
        <f aca="false">FALSE()</f>
        <v>0</v>
      </c>
      <c r="M17" s="17" t="b">
        <f aca="false">FALSE()</f>
        <v>0</v>
      </c>
      <c r="N17" s="17" t="b">
        <f aca="false">FALSE()</f>
        <v>0</v>
      </c>
      <c r="O17" s="17" t="b">
        <f aca="false">FALSE()</f>
        <v>0</v>
      </c>
      <c r="P17" s="17" t="b">
        <f aca="false">FALSE()</f>
        <v>0</v>
      </c>
      <c r="Q17" s="17" t="b">
        <f aca="false">FALSE()</f>
        <v>0</v>
      </c>
      <c r="R17" s="17" t="b">
        <f aca="false">FALSE()</f>
        <v>0</v>
      </c>
      <c r="S17" s="17" t="b">
        <f aca="false">FALSE()</f>
        <v>0</v>
      </c>
      <c r="T17" s="17" t="b">
        <f aca="false">FALSE()</f>
        <v>0</v>
      </c>
      <c r="U17" s="17" t="b">
        <f aca="false">FALSE()</f>
        <v>0</v>
      </c>
      <c r="V17" s="17" t="b">
        <f aca="false">FALSE()</f>
        <v>0</v>
      </c>
      <c r="W17" s="17" t="b">
        <f aca="false">FALSE()</f>
        <v>0</v>
      </c>
      <c r="X17" s="17" t="b">
        <f aca="false">FALSE()</f>
        <v>0</v>
      </c>
      <c r="Y17" s="17" t="b">
        <f aca="false">FALSE()</f>
        <v>0</v>
      </c>
      <c r="Z17" s="17" t="b">
        <f aca="false">FALSE()</f>
        <v>0</v>
      </c>
      <c r="AA17" s="17" t="b">
        <f aca="false">FALSE()</f>
        <v>0</v>
      </c>
      <c r="AB17" s="17" t="b">
        <f aca="false">FALSE()</f>
        <v>0</v>
      </c>
      <c r="AC17" s="17" t="b">
        <f aca="false">FALSE()</f>
        <v>0</v>
      </c>
      <c r="AD17" s="17" t="b">
        <f aca="false">FALSE()</f>
        <v>0</v>
      </c>
      <c r="AE17" s="17" t="b">
        <f aca="false">FALSE()</f>
        <v>0</v>
      </c>
      <c r="AF17" s="17" t="b">
        <f aca="false">FALSE()</f>
        <v>0</v>
      </c>
      <c r="AG17" s="17" t="b">
        <f aca="false">FALSE()</f>
        <v>0</v>
      </c>
      <c r="AH17" s="1"/>
      <c r="AI17" s="18" t="n">
        <f aca="false">IF($B17="","",$AP$3)</f>
        <v>31</v>
      </c>
      <c r="AJ17" s="18" t="n">
        <f aca="false">IF($B17="","",COUNTIF(C17:AG17,TRUE()))</f>
        <v>0</v>
      </c>
      <c r="AK17" s="18" t="n">
        <f aca="false">IF($B17="","",AI17-AJ17)</f>
        <v>31</v>
      </c>
      <c r="AL17" s="19" t="n">
        <f aca="false">IF($B17="","",AJ17/AI17)</f>
        <v>0</v>
      </c>
      <c r="AM17" s="20" t="n">
        <f aca="false">IF($B17="","",AJ17/AI17)</f>
        <v>0</v>
      </c>
      <c r="AN17" s="21" t="n">
        <f aca="false">IF($B17="",-1,AM17-ROW()/100000)</f>
        <v>-0.00017</v>
      </c>
      <c r="AO17" s="1"/>
    </row>
    <row r="18" customFormat="false" ht="18" hidden="false" customHeight="true" outlineLevel="0" collapsed="false">
      <c r="A18" s="1"/>
      <c r="B18" s="16" t="s">
        <v>36</v>
      </c>
      <c r="C18" s="17" t="b">
        <f aca="false">FALSE()</f>
        <v>0</v>
      </c>
      <c r="D18" s="17" t="b">
        <f aca="false">FALSE()</f>
        <v>0</v>
      </c>
      <c r="E18" s="17" t="b">
        <f aca="false">FALSE()</f>
        <v>0</v>
      </c>
      <c r="F18" s="17" t="b">
        <f aca="false">FALSE()</f>
        <v>0</v>
      </c>
      <c r="G18" s="17" t="b">
        <f aca="false">FALSE()</f>
        <v>0</v>
      </c>
      <c r="H18" s="17" t="b">
        <f aca="false">FALSE()</f>
        <v>0</v>
      </c>
      <c r="I18" s="17" t="b">
        <f aca="false">FALSE()</f>
        <v>0</v>
      </c>
      <c r="J18" s="17" t="b">
        <f aca="false">FALSE()</f>
        <v>0</v>
      </c>
      <c r="K18" s="17" t="b">
        <f aca="false">FALSE()</f>
        <v>0</v>
      </c>
      <c r="L18" s="17" t="b">
        <f aca="false">FALSE()</f>
        <v>0</v>
      </c>
      <c r="M18" s="17" t="b">
        <f aca="false">FALSE()</f>
        <v>0</v>
      </c>
      <c r="N18" s="17" t="b">
        <f aca="false">FALSE()</f>
        <v>0</v>
      </c>
      <c r="O18" s="17" t="b">
        <f aca="false">FALSE()</f>
        <v>0</v>
      </c>
      <c r="P18" s="17" t="b">
        <f aca="false">FALSE()</f>
        <v>0</v>
      </c>
      <c r="Q18" s="17" t="b">
        <f aca="false">FALSE()</f>
        <v>0</v>
      </c>
      <c r="R18" s="17" t="b">
        <f aca="false">FALSE()</f>
        <v>0</v>
      </c>
      <c r="S18" s="17" t="b">
        <f aca="false">FALSE()</f>
        <v>0</v>
      </c>
      <c r="T18" s="17" t="b">
        <f aca="false">FALSE()</f>
        <v>0</v>
      </c>
      <c r="U18" s="17" t="b">
        <f aca="false">FALSE()</f>
        <v>0</v>
      </c>
      <c r="V18" s="17" t="b">
        <f aca="false">FALSE()</f>
        <v>0</v>
      </c>
      <c r="W18" s="17" t="b">
        <f aca="false">FALSE()</f>
        <v>0</v>
      </c>
      <c r="X18" s="17" t="b">
        <f aca="false">FALSE()</f>
        <v>0</v>
      </c>
      <c r="Y18" s="17" t="b">
        <f aca="false">FALSE()</f>
        <v>0</v>
      </c>
      <c r="Z18" s="17" t="b">
        <f aca="false">FALSE()</f>
        <v>0</v>
      </c>
      <c r="AA18" s="17" t="b">
        <f aca="false">FALSE()</f>
        <v>0</v>
      </c>
      <c r="AB18" s="17" t="b">
        <f aca="false">FALSE()</f>
        <v>0</v>
      </c>
      <c r="AC18" s="17" t="b">
        <f aca="false">FALSE()</f>
        <v>0</v>
      </c>
      <c r="AD18" s="17" t="b">
        <f aca="false">FALSE()</f>
        <v>0</v>
      </c>
      <c r="AE18" s="17" t="b">
        <f aca="false">FALSE()</f>
        <v>0</v>
      </c>
      <c r="AF18" s="17" t="b">
        <f aca="false">FALSE()</f>
        <v>0</v>
      </c>
      <c r="AG18" s="17" t="b">
        <f aca="false">FALSE()</f>
        <v>0</v>
      </c>
      <c r="AH18" s="1"/>
      <c r="AI18" s="18" t="n">
        <f aca="false">IF($B18="","",$AP$3)</f>
        <v>31</v>
      </c>
      <c r="AJ18" s="18" t="n">
        <f aca="false">IF($B18="","",COUNTIF(C18:AG18,TRUE()))</f>
        <v>0</v>
      </c>
      <c r="AK18" s="18" t="n">
        <f aca="false">IF($B18="","",AI18-AJ18)</f>
        <v>31</v>
      </c>
      <c r="AL18" s="19" t="n">
        <f aca="false">IF($B18="","",AJ18/AI18)</f>
        <v>0</v>
      </c>
      <c r="AM18" s="20" t="n">
        <f aca="false">IF($B18="","",AJ18/AI18)</f>
        <v>0</v>
      </c>
      <c r="AN18" s="21" t="n">
        <f aca="false">IF($B18="",-1,AM18-ROW()/100000)</f>
        <v>-0.00018</v>
      </c>
      <c r="AO18" s="1"/>
    </row>
    <row r="19" customFormat="false" ht="18" hidden="false" customHeight="true" outlineLevel="0" collapsed="false">
      <c r="A19" s="1"/>
      <c r="B19" s="16" t="s">
        <v>37</v>
      </c>
      <c r="C19" s="17" t="b">
        <f aca="false">FALSE()</f>
        <v>0</v>
      </c>
      <c r="D19" s="17" t="b">
        <f aca="false">FALSE()</f>
        <v>0</v>
      </c>
      <c r="E19" s="17" t="b">
        <f aca="false">FALSE()</f>
        <v>0</v>
      </c>
      <c r="F19" s="17" t="b">
        <f aca="false">FALSE()</f>
        <v>0</v>
      </c>
      <c r="G19" s="17" t="b">
        <f aca="false">FALSE()</f>
        <v>0</v>
      </c>
      <c r="H19" s="17" t="b">
        <f aca="false">FALSE()</f>
        <v>0</v>
      </c>
      <c r="I19" s="17" t="b">
        <f aca="false">FALSE()</f>
        <v>0</v>
      </c>
      <c r="J19" s="17" t="b">
        <f aca="false">FALSE()</f>
        <v>0</v>
      </c>
      <c r="K19" s="17" t="b">
        <f aca="false">FALSE()</f>
        <v>0</v>
      </c>
      <c r="L19" s="17" t="b">
        <f aca="false">FALSE()</f>
        <v>0</v>
      </c>
      <c r="M19" s="17" t="b">
        <f aca="false">FALSE()</f>
        <v>0</v>
      </c>
      <c r="N19" s="17" t="b">
        <f aca="false">FALSE()</f>
        <v>0</v>
      </c>
      <c r="O19" s="17" t="b">
        <f aca="false">FALSE()</f>
        <v>0</v>
      </c>
      <c r="P19" s="17" t="b">
        <f aca="false">FALSE()</f>
        <v>0</v>
      </c>
      <c r="Q19" s="17" t="b">
        <f aca="false">FALSE()</f>
        <v>0</v>
      </c>
      <c r="R19" s="17" t="b">
        <f aca="false">FALSE()</f>
        <v>0</v>
      </c>
      <c r="S19" s="17" t="b">
        <f aca="false">FALSE()</f>
        <v>0</v>
      </c>
      <c r="T19" s="17" t="b">
        <f aca="false">FALSE()</f>
        <v>0</v>
      </c>
      <c r="U19" s="17" t="b">
        <f aca="false">FALSE()</f>
        <v>0</v>
      </c>
      <c r="V19" s="17" t="b">
        <f aca="false">FALSE()</f>
        <v>0</v>
      </c>
      <c r="W19" s="17" t="b">
        <f aca="false">FALSE()</f>
        <v>0</v>
      </c>
      <c r="X19" s="17" t="b">
        <f aca="false">FALSE()</f>
        <v>0</v>
      </c>
      <c r="Y19" s="17" t="b">
        <f aca="false">FALSE()</f>
        <v>0</v>
      </c>
      <c r="Z19" s="17" t="b">
        <f aca="false">FALSE()</f>
        <v>0</v>
      </c>
      <c r="AA19" s="17" t="b">
        <f aca="false">FALSE()</f>
        <v>0</v>
      </c>
      <c r="AB19" s="17" t="b">
        <f aca="false">FALSE()</f>
        <v>0</v>
      </c>
      <c r="AC19" s="17" t="b">
        <f aca="false">FALSE()</f>
        <v>0</v>
      </c>
      <c r="AD19" s="17" t="b">
        <f aca="false">FALSE()</f>
        <v>0</v>
      </c>
      <c r="AE19" s="17" t="b">
        <f aca="false">FALSE()</f>
        <v>0</v>
      </c>
      <c r="AF19" s="17" t="b">
        <f aca="false">FALSE()</f>
        <v>0</v>
      </c>
      <c r="AG19" s="17" t="b">
        <f aca="false">FALSE()</f>
        <v>0</v>
      </c>
      <c r="AH19" s="1"/>
      <c r="AI19" s="18" t="n">
        <f aca="false">IF($B19="","",$AP$3)</f>
        <v>31</v>
      </c>
      <c r="AJ19" s="18" t="n">
        <f aca="false">IF($B19="","",COUNTIF(C19:AG19,TRUE()))</f>
        <v>0</v>
      </c>
      <c r="AK19" s="18" t="n">
        <f aca="false">IF($B19="","",AI19-AJ19)</f>
        <v>31</v>
      </c>
      <c r="AL19" s="19" t="n">
        <f aca="false">IF($B19="","",AJ19/AI19)</f>
        <v>0</v>
      </c>
      <c r="AM19" s="20" t="n">
        <f aca="false">IF($B19="","",AJ19/AI19)</f>
        <v>0</v>
      </c>
      <c r="AN19" s="21" t="n">
        <f aca="false">IF($B19="",-1,AM19-ROW()/100000)</f>
        <v>-0.00019</v>
      </c>
      <c r="AO19" s="1"/>
    </row>
    <row r="20" customFormat="false" ht="18" hidden="false" customHeight="true" outlineLevel="0" collapsed="false">
      <c r="A20" s="1"/>
      <c r="B20" s="16" t="s">
        <v>38</v>
      </c>
      <c r="C20" s="17" t="b">
        <f aca="false">FALSE()</f>
        <v>0</v>
      </c>
      <c r="D20" s="17" t="b">
        <f aca="false">FALSE()</f>
        <v>0</v>
      </c>
      <c r="E20" s="17" t="b">
        <f aca="false">FALSE()</f>
        <v>0</v>
      </c>
      <c r="F20" s="17" t="b">
        <f aca="false">FALSE()</f>
        <v>0</v>
      </c>
      <c r="G20" s="17" t="b">
        <f aca="false">FALSE()</f>
        <v>0</v>
      </c>
      <c r="H20" s="17" t="b">
        <f aca="false">FALSE()</f>
        <v>0</v>
      </c>
      <c r="I20" s="17" t="b">
        <f aca="false">FALSE()</f>
        <v>0</v>
      </c>
      <c r="J20" s="17" t="b">
        <f aca="false">FALSE()</f>
        <v>0</v>
      </c>
      <c r="K20" s="17" t="b">
        <f aca="false">FALSE()</f>
        <v>0</v>
      </c>
      <c r="L20" s="17" t="b">
        <f aca="false">FALSE()</f>
        <v>0</v>
      </c>
      <c r="M20" s="17" t="b">
        <f aca="false">FALSE()</f>
        <v>0</v>
      </c>
      <c r="N20" s="17" t="b">
        <f aca="false">FALSE()</f>
        <v>0</v>
      </c>
      <c r="O20" s="17" t="b">
        <f aca="false">FALSE()</f>
        <v>0</v>
      </c>
      <c r="P20" s="17" t="b">
        <f aca="false">FALSE()</f>
        <v>0</v>
      </c>
      <c r="Q20" s="17" t="b">
        <f aca="false">FALSE()</f>
        <v>0</v>
      </c>
      <c r="R20" s="17" t="b">
        <f aca="false">FALSE()</f>
        <v>0</v>
      </c>
      <c r="S20" s="17" t="b">
        <f aca="false">FALSE()</f>
        <v>0</v>
      </c>
      <c r="T20" s="17" t="b">
        <f aca="false">FALSE()</f>
        <v>0</v>
      </c>
      <c r="U20" s="17" t="b">
        <f aca="false">FALSE()</f>
        <v>0</v>
      </c>
      <c r="V20" s="17" t="b">
        <f aca="false">FALSE()</f>
        <v>0</v>
      </c>
      <c r="W20" s="17" t="b">
        <f aca="false">FALSE()</f>
        <v>0</v>
      </c>
      <c r="X20" s="17" t="b">
        <f aca="false">FALSE()</f>
        <v>0</v>
      </c>
      <c r="Y20" s="17" t="b">
        <f aca="false">FALSE()</f>
        <v>0</v>
      </c>
      <c r="Z20" s="17" t="b">
        <f aca="false">FALSE()</f>
        <v>0</v>
      </c>
      <c r="AA20" s="17" t="b">
        <f aca="false">FALSE()</f>
        <v>0</v>
      </c>
      <c r="AB20" s="17" t="b">
        <f aca="false">FALSE()</f>
        <v>0</v>
      </c>
      <c r="AC20" s="17" t="b">
        <f aca="false">FALSE()</f>
        <v>0</v>
      </c>
      <c r="AD20" s="17" t="b">
        <f aca="false">FALSE()</f>
        <v>0</v>
      </c>
      <c r="AE20" s="17" t="b">
        <f aca="false">FALSE()</f>
        <v>0</v>
      </c>
      <c r="AF20" s="17" t="b">
        <f aca="false">FALSE()</f>
        <v>0</v>
      </c>
      <c r="AG20" s="17" t="b">
        <f aca="false">FALSE()</f>
        <v>0</v>
      </c>
      <c r="AH20" s="1"/>
      <c r="AI20" s="18" t="n">
        <f aca="false">IF($B20="","",$AP$3)</f>
        <v>31</v>
      </c>
      <c r="AJ20" s="18" t="n">
        <f aca="false">IF($B20="","",COUNTIF(C20:AG20,TRUE()))</f>
        <v>0</v>
      </c>
      <c r="AK20" s="18" t="n">
        <f aca="false">IF($B20="","",AI20-AJ20)</f>
        <v>31</v>
      </c>
      <c r="AL20" s="19" t="n">
        <f aca="false">IF($B20="","",AJ20/AI20)</f>
        <v>0</v>
      </c>
      <c r="AM20" s="20" t="n">
        <f aca="false">IF($B20="","",AJ20/AI20)</f>
        <v>0</v>
      </c>
      <c r="AN20" s="21" t="n">
        <f aca="false">IF($B20="",-1,AM20-ROW()/100000)</f>
        <v>-0.0002</v>
      </c>
      <c r="AO20" s="1"/>
    </row>
    <row r="21" customFormat="false" ht="18" hidden="false" customHeight="true" outlineLevel="0" collapsed="false">
      <c r="A21" s="1"/>
      <c r="B21" s="16" t="s">
        <v>39</v>
      </c>
      <c r="C21" s="17" t="b">
        <f aca="false">FALSE()</f>
        <v>0</v>
      </c>
      <c r="D21" s="17" t="b">
        <f aca="false">FALSE()</f>
        <v>0</v>
      </c>
      <c r="E21" s="17" t="b">
        <f aca="false">FALSE()</f>
        <v>0</v>
      </c>
      <c r="F21" s="17" t="b">
        <f aca="false">FALSE()</f>
        <v>0</v>
      </c>
      <c r="G21" s="17" t="b">
        <f aca="false">FALSE()</f>
        <v>0</v>
      </c>
      <c r="H21" s="17" t="b">
        <f aca="false">FALSE()</f>
        <v>0</v>
      </c>
      <c r="I21" s="17" t="b">
        <f aca="false">FALSE()</f>
        <v>0</v>
      </c>
      <c r="J21" s="17" t="b">
        <f aca="false">FALSE()</f>
        <v>0</v>
      </c>
      <c r="K21" s="17" t="b">
        <f aca="false">FALSE()</f>
        <v>0</v>
      </c>
      <c r="L21" s="17" t="b">
        <f aca="false">FALSE()</f>
        <v>0</v>
      </c>
      <c r="M21" s="17" t="b">
        <f aca="false">FALSE()</f>
        <v>0</v>
      </c>
      <c r="N21" s="17" t="b">
        <f aca="false">FALSE()</f>
        <v>0</v>
      </c>
      <c r="O21" s="17" t="b">
        <f aca="false">FALSE()</f>
        <v>0</v>
      </c>
      <c r="P21" s="17" t="b">
        <f aca="false">FALSE()</f>
        <v>0</v>
      </c>
      <c r="Q21" s="17" t="b">
        <f aca="false">FALSE()</f>
        <v>0</v>
      </c>
      <c r="R21" s="17" t="b">
        <f aca="false">FALSE()</f>
        <v>0</v>
      </c>
      <c r="S21" s="17" t="b">
        <f aca="false">FALSE()</f>
        <v>0</v>
      </c>
      <c r="T21" s="17" t="b">
        <f aca="false">FALSE()</f>
        <v>0</v>
      </c>
      <c r="U21" s="17" t="b">
        <f aca="false">FALSE()</f>
        <v>0</v>
      </c>
      <c r="V21" s="17" t="b">
        <f aca="false">FALSE()</f>
        <v>0</v>
      </c>
      <c r="W21" s="17" t="b">
        <f aca="false">FALSE()</f>
        <v>0</v>
      </c>
      <c r="X21" s="17" t="b">
        <f aca="false">FALSE()</f>
        <v>0</v>
      </c>
      <c r="Y21" s="17" t="b">
        <f aca="false">FALSE()</f>
        <v>0</v>
      </c>
      <c r="Z21" s="17" t="b">
        <f aca="false">FALSE()</f>
        <v>0</v>
      </c>
      <c r="AA21" s="17" t="b">
        <f aca="false">FALSE()</f>
        <v>0</v>
      </c>
      <c r="AB21" s="17" t="b">
        <f aca="false">FALSE()</f>
        <v>0</v>
      </c>
      <c r="AC21" s="17" t="b">
        <f aca="false">FALSE()</f>
        <v>0</v>
      </c>
      <c r="AD21" s="17" t="b">
        <f aca="false">FALSE()</f>
        <v>0</v>
      </c>
      <c r="AE21" s="17" t="b">
        <f aca="false">FALSE()</f>
        <v>0</v>
      </c>
      <c r="AF21" s="17" t="b">
        <f aca="false">FALSE()</f>
        <v>0</v>
      </c>
      <c r="AG21" s="17" t="b">
        <f aca="false">FALSE()</f>
        <v>0</v>
      </c>
      <c r="AH21" s="1"/>
      <c r="AI21" s="18" t="n">
        <f aca="false">IF($B21="","",$AP$3)</f>
        <v>31</v>
      </c>
      <c r="AJ21" s="18" t="n">
        <f aca="false">IF($B21="","",COUNTIF(C21:AG21,TRUE()))</f>
        <v>0</v>
      </c>
      <c r="AK21" s="18" t="n">
        <f aca="false">IF($B21="","",AI21-AJ21)</f>
        <v>31</v>
      </c>
      <c r="AL21" s="19" t="n">
        <f aca="false">IF($B21="","",AJ21/AI21)</f>
        <v>0</v>
      </c>
      <c r="AM21" s="20" t="n">
        <f aca="false">IF($B21="","",AJ21/AI21)</f>
        <v>0</v>
      </c>
      <c r="AN21" s="21" t="n">
        <f aca="false">IF($B21="",-1,AM21-ROW()/100000)</f>
        <v>-0.00021</v>
      </c>
      <c r="AO21" s="1"/>
    </row>
    <row r="22" customFormat="false" ht="18" hidden="false" customHeight="true" outlineLevel="0" collapsed="false">
      <c r="A22" s="1"/>
      <c r="B22" s="16" t="s">
        <v>40</v>
      </c>
      <c r="C22" s="17" t="b">
        <f aca="false">FALSE()</f>
        <v>0</v>
      </c>
      <c r="D22" s="17" t="b">
        <f aca="false">FALSE()</f>
        <v>0</v>
      </c>
      <c r="E22" s="17" t="b">
        <f aca="false">FALSE()</f>
        <v>0</v>
      </c>
      <c r="F22" s="17" t="b">
        <f aca="false">FALSE()</f>
        <v>0</v>
      </c>
      <c r="G22" s="17" t="b">
        <f aca="false">FALSE()</f>
        <v>0</v>
      </c>
      <c r="H22" s="17" t="b">
        <f aca="false">FALSE()</f>
        <v>0</v>
      </c>
      <c r="I22" s="17" t="b">
        <f aca="false">FALSE()</f>
        <v>0</v>
      </c>
      <c r="J22" s="17" t="b">
        <f aca="false">FALSE()</f>
        <v>0</v>
      </c>
      <c r="K22" s="17" t="b">
        <f aca="false">FALSE()</f>
        <v>0</v>
      </c>
      <c r="L22" s="17" t="b">
        <f aca="false">FALSE()</f>
        <v>0</v>
      </c>
      <c r="M22" s="17" t="b">
        <f aca="false">FALSE()</f>
        <v>0</v>
      </c>
      <c r="N22" s="17" t="b">
        <f aca="false">FALSE()</f>
        <v>0</v>
      </c>
      <c r="O22" s="17" t="b">
        <f aca="false">FALSE()</f>
        <v>0</v>
      </c>
      <c r="P22" s="17" t="b">
        <f aca="false">FALSE()</f>
        <v>0</v>
      </c>
      <c r="Q22" s="17" t="b">
        <f aca="false">FALSE()</f>
        <v>0</v>
      </c>
      <c r="R22" s="17" t="b">
        <f aca="false">FALSE()</f>
        <v>0</v>
      </c>
      <c r="S22" s="17" t="b">
        <f aca="false">FALSE()</f>
        <v>0</v>
      </c>
      <c r="T22" s="17" t="b">
        <f aca="false">FALSE()</f>
        <v>0</v>
      </c>
      <c r="U22" s="17" t="b">
        <f aca="false">FALSE()</f>
        <v>0</v>
      </c>
      <c r="V22" s="17" t="b">
        <f aca="false">FALSE()</f>
        <v>0</v>
      </c>
      <c r="W22" s="17" t="b">
        <f aca="false">FALSE()</f>
        <v>0</v>
      </c>
      <c r="X22" s="17" t="b">
        <f aca="false">FALSE()</f>
        <v>0</v>
      </c>
      <c r="Y22" s="17" t="b">
        <f aca="false">FALSE()</f>
        <v>0</v>
      </c>
      <c r="Z22" s="17" t="b">
        <f aca="false">FALSE()</f>
        <v>0</v>
      </c>
      <c r="AA22" s="17" t="b">
        <f aca="false">FALSE()</f>
        <v>0</v>
      </c>
      <c r="AB22" s="17" t="b">
        <f aca="false">FALSE()</f>
        <v>0</v>
      </c>
      <c r="AC22" s="17" t="b">
        <f aca="false">FALSE()</f>
        <v>0</v>
      </c>
      <c r="AD22" s="17" t="b">
        <f aca="false">FALSE()</f>
        <v>0</v>
      </c>
      <c r="AE22" s="17" t="b">
        <f aca="false">FALSE()</f>
        <v>0</v>
      </c>
      <c r="AF22" s="17" t="b">
        <f aca="false">FALSE()</f>
        <v>0</v>
      </c>
      <c r="AG22" s="17" t="b">
        <f aca="false">FALSE()</f>
        <v>0</v>
      </c>
      <c r="AH22" s="1"/>
      <c r="AI22" s="18" t="n">
        <f aca="false">IF($B22="","",$AP$3)</f>
        <v>31</v>
      </c>
      <c r="AJ22" s="18" t="n">
        <f aca="false">IF($B22="","",COUNTIF(C22:AG22,TRUE()))</f>
        <v>0</v>
      </c>
      <c r="AK22" s="18" t="n">
        <f aca="false">IF($B22="","",AI22-AJ22)</f>
        <v>31</v>
      </c>
      <c r="AL22" s="19" t="n">
        <f aca="false">IF($B22="","",AJ22/AI22)</f>
        <v>0</v>
      </c>
      <c r="AM22" s="20" t="n">
        <f aca="false">IF($B22="","",AJ22/AI22)</f>
        <v>0</v>
      </c>
      <c r="AN22" s="21" t="n">
        <f aca="false">IF($B22="",-1,AM22-ROW()/100000)</f>
        <v>-0.00022</v>
      </c>
      <c r="AO22" s="1"/>
    </row>
    <row r="23" customFormat="false" ht="18" hidden="false" customHeight="true" outlineLevel="0" collapsed="false">
      <c r="A23" s="1"/>
      <c r="B23" s="16" t="s">
        <v>41</v>
      </c>
      <c r="C23" s="17" t="b">
        <f aca="false">FALSE()</f>
        <v>0</v>
      </c>
      <c r="D23" s="17" t="b">
        <f aca="false">FALSE()</f>
        <v>0</v>
      </c>
      <c r="E23" s="17" t="b">
        <f aca="false">FALSE()</f>
        <v>0</v>
      </c>
      <c r="F23" s="17" t="b">
        <f aca="false">FALSE()</f>
        <v>0</v>
      </c>
      <c r="G23" s="17" t="b">
        <f aca="false">FALSE()</f>
        <v>0</v>
      </c>
      <c r="H23" s="17" t="b">
        <f aca="false">FALSE()</f>
        <v>0</v>
      </c>
      <c r="I23" s="17" t="b">
        <f aca="false">FALSE()</f>
        <v>0</v>
      </c>
      <c r="J23" s="17" t="b">
        <f aca="false">FALSE()</f>
        <v>0</v>
      </c>
      <c r="K23" s="17" t="b">
        <f aca="false">FALSE()</f>
        <v>0</v>
      </c>
      <c r="L23" s="17" t="b">
        <f aca="false">FALSE()</f>
        <v>0</v>
      </c>
      <c r="M23" s="17" t="b">
        <f aca="false">FALSE()</f>
        <v>0</v>
      </c>
      <c r="N23" s="17" t="b">
        <f aca="false">FALSE()</f>
        <v>0</v>
      </c>
      <c r="O23" s="17" t="b">
        <f aca="false">FALSE()</f>
        <v>0</v>
      </c>
      <c r="P23" s="17" t="b">
        <f aca="false">FALSE()</f>
        <v>0</v>
      </c>
      <c r="Q23" s="17" t="b">
        <f aca="false">FALSE()</f>
        <v>0</v>
      </c>
      <c r="R23" s="17" t="b">
        <f aca="false">FALSE()</f>
        <v>0</v>
      </c>
      <c r="S23" s="17" t="b">
        <f aca="false">FALSE()</f>
        <v>0</v>
      </c>
      <c r="T23" s="17" t="b">
        <f aca="false">FALSE()</f>
        <v>0</v>
      </c>
      <c r="U23" s="17" t="b">
        <f aca="false">FALSE()</f>
        <v>0</v>
      </c>
      <c r="V23" s="17" t="b">
        <f aca="false">FALSE()</f>
        <v>0</v>
      </c>
      <c r="W23" s="17" t="b">
        <f aca="false">FALSE()</f>
        <v>0</v>
      </c>
      <c r="X23" s="17" t="b">
        <f aca="false">FALSE()</f>
        <v>0</v>
      </c>
      <c r="Y23" s="17" t="b">
        <f aca="false">FALSE()</f>
        <v>0</v>
      </c>
      <c r="Z23" s="17" t="b">
        <f aca="false">FALSE()</f>
        <v>0</v>
      </c>
      <c r="AA23" s="17" t="b">
        <f aca="false">FALSE()</f>
        <v>0</v>
      </c>
      <c r="AB23" s="17" t="b">
        <f aca="false">FALSE()</f>
        <v>0</v>
      </c>
      <c r="AC23" s="17" t="b">
        <f aca="false">FALSE()</f>
        <v>0</v>
      </c>
      <c r="AD23" s="17" t="b">
        <f aca="false">FALSE()</f>
        <v>0</v>
      </c>
      <c r="AE23" s="17" t="b">
        <f aca="false">FALSE()</f>
        <v>0</v>
      </c>
      <c r="AF23" s="17" t="b">
        <f aca="false">FALSE()</f>
        <v>0</v>
      </c>
      <c r="AG23" s="17" t="b">
        <f aca="false">FALSE()</f>
        <v>0</v>
      </c>
      <c r="AH23" s="1"/>
      <c r="AI23" s="18" t="n">
        <f aca="false">IF($B23="","",$AP$3)</f>
        <v>31</v>
      </c>
      <c r="AJ23" s="18" t="n">
        <f aca="false">IF($B23="","",COUNTIF(C23:AG23,TRUE()))</f>
        <v>0</v>
      </c>
      <c r="AK23" s="18" t="n">
        <f aca="false">IF($B23="","",AI23-AJ23)</f>
        <v>31</v>
      </c>
      <c r="AL23" s="19" t="n">
        <f aca="false">IF($B23="","",AJ23/AI23)</f>
        <v>0</v>
      </c>
      <c r="AM23" s="20" t="n">
        <f aca="false">IF($B23="","",AJ23/AI23)</f>
        <v>0</v>
      </c>
      <c r="AN23" s="21" t="n">
        <f aca="false">IF($B23="",-1,AM23-ROW()/100000)</f>
        <v>-0.00023</v>
      </c>
      <c r="AO23" s="1"/>
    </row>
    <row r="24" customFormat="false" ht="18" hidden="false" customHeight="true" outlineLevel="0" collapsed="false">
      <c r="A24" s="1"/>
      <c r="B24" s="16" t="s">
        <v>42</v>
      </c>
      <c r="C24" s="17" t="b">
        <f aca="false">FALSE()</f>
        <v>0</v>
      </c>
      <c r="D24" s="17" t="b">
        <f aca="false">FALSE()</f>
        <v>0</v>
      </c>
      <c r="E24" s="17" t="b">
        <f aca="false">FALSE()</f>
        <v>0</v>
      </c>
      <c r="F24" s="17" t="b">
        <f aca="false">FALSE()</f>
        <v>0</v>
      </c>
      <c r="G24" s="17" t="b">
        <f aca="false">FALSE()</f>
        <v>0</v>
      </c>
      <c r="H24" s="17" t="b">
        <f aca="false">FALSE()</f>
        <v>0</v>
      </c>
      <c r="I24" s="17" t="b">
        <f aca="false">FALSE()</f>
        <v>0</v>
      </c>
      <c r="J24" s="17" t="b">
        <f aca="false">FALSE()</f>
        <v>0</v>
      </c>
      <c r="K24" s="17" t="b">
        <f aca="false">FALSE()</f>
        <v>0</v>
      </c>
      <c r="L24" s="17" t="b">
        <f aca="false">FALSE()</f>
        <v>0</v>
      </c>
      <c r="M24" s="17" t="b">
        <f aca="false">FALSE()</f>
        <v>0</v>
      </c>
      <c r="N24" s="17" t="b">
        <f aca="false">FALSE()</f>
        <v>0</v>
      </c>
      <c r="O24" s="17" t="b">
        <f aca="false">FALSE()</f>
        <v>0</v>
      </c>
      <c r="P24" s="17" t="b">
        <f aca="false">FALSE()</f>
        <v>0</v>
      </c>
      <c r="Q24" s="17" t="b">
        <f aca="false">FALSE()</f>
        <v>0</v>
      </c>
      <c r="R24" s="17" t="b">
        <f aca="false">FALSE()</f>
        <v>0</v>
      </c>
      <c r="S24" s="17" t="b">
        <f aca="false">FALSE()</f>
        <v>0</v>
      </c>
      <c r="T24" s="17" t="b">
        <f aca="false">FALSE()</f>
        <v>0</v>
      </c>
      <c r="U24" s="17" t="b">
        <f aca="false">FALSE()</f>
        <v>0</v>
      </c>
      <c r="V24" s="17" t="b">
        <f aca="false">FALSE()</f>
        <v>0</v>
      </c>
      <c r="W24" s="17" t="b">
        <f aca="false">FALSE()</f>
        <v>0</v>
      </c>
      <c r="X24" s="17" t="b">
        <f aca="false">FALSE()</f>
        <v>0</v>
      </c>
      <c r="Y24" s="17" t="b">
        <f aca="false">FALSE()</f>
        <v>0</v>
      </c>
      <c r="Z24" s="17" t="b">
        <f aca="false">FALSE()</f>
        <v>0</v>
      </c>
      <c r="AA24" s="17" t="b">
        <f aca="false">FALSE()</f>
        <v>0</v>
      </c>
      <c r="AB24" s="17" t="b">
        <f aca="false">FALSE()</f>
        <v>0</v>
      </c>
      <c r="AC24" s="17" t="b">
        <f aca="false">FALSE()</f>
        <v>0</v>
      </c>
      <c r="AD24" s="17" t="b">
        <f aca="false">FALSE()</f>
        <v>0</v>
      </c>
      <c r="AE24" s="17" t="b">
        <f aca="false">FALSE()</f>
        <v>0</v>
      </c>
      <c r="AF24" s="17" t="b">
        <f aca="false">FALSE()</f>
        <v>0</v>
      </c>
      <c r="AG24" s="17" t="b">
        <f aca="false">FALSE()</f>
        <v>0</v>
      </c>
      <c r="AH24" s="1"/>
      <c r="AI24" s="18" t="n">
        <f aca="false">IF($B24="","",$AP$3)</f>
        <v>31</v>
      </c>
      <c r="AJ24" s="18" t="n">
        <f aca="false">IF($B24="","",COUNTIF(C24:AG24,TRUE()))</f>
        <v>0</v>
      </c>
      <c r="AK24" s="18" t="n">
        <f aca="false">IF($B24="","",AI24-AJ24)</f>
        <v>31</v>
      </c>
      <c r="AL24" s="19" t="n">
        <f aca="false">IF($B24="","",AJ24/AI24)</f>
        <v>0</v>
      </c>
      <c r="AM24" s="20" t="n">
        <f aca="false">IF($B24="","",AJ24/AI24)</f>
        <v>0</v>
      </c>
      <c r="AN24" s="21" t="n">
        <f aca="false">IF($B24="",-1,AM24-ROW()/100000)</f>
        <v>-0.00024</v>
      </c>
      <c r="AO24" s="1"/>
    </row>
    <row r="25" customFormat="false" ht="18" hidden="false" customHeight="true" outlineLevel="0" collapsed="false">
      <c r="A25" s="1"/>
      <c r="B25" s="16" t="s">
        <v>43</v>
      </c>
      <c r="C25" s="17" t="b">
        <f aca="false">FALSE()</f>
        <v>0</v>
      </c>
      <c r="D25" s="17" t="b">
        <f aca="false">FALSE()</f>
        <v>0</v>
      </c>
      <c r="E25" s="17" t="b">
        <f aca="false">FALSE()</f>
        <v>0</v>
      </c>
      <c r="F25" s="17" t="b">
        <f aca="false">FALSE()</f>
        <v>0</v>
      </c>
      <c r="G25" s="17" t="b">
        <f aca="false">FALSE()</f>
        <v>0</v>
      </c>
      <c r="H25" s="17" t="b">
        <f aca="false">FALSE()</f>
        <v>0</v>
      </c>
      <c r="I25" s="17" t="b">
        <f aca="false">FALSE()</f>
        <v>0</v>
      </c>
      <c r="J25" s="17" t="b">
        <f aca="false">FALSE()</f>
        <v>0</v>
      </c>
      <c r="K25" s="17" t="b">
        <f aca="false">FALSE()</f>
        <v>0</v>
      </c>
      <c r="L25" s="17" t="b">
        <f aca="false">FALSE()</f>
        <v>0</v>
      </c>
      <c r="M25" s="17" t="b">
        <f aca="false">FALSE()</f>
        <v>0</v>
      </c>
      <c r="N25" s="17" t="b">
        <f aca="false">FALSE()</f>
        <v>0</v>
      </c>
      <c r="O25" s="17" t="b">
        <f aca="false">FALSE()</f>
        <v>0</v>
      </c>
      <c r="P25" s="17" t="b">
        <f aca="false">FALSE()</f>
        <v>0</v>
      </c>
      <c r="Q25" s="17" t="b">
        <f aca="false">FALSE()</f>
        <v>0</v>
      </c>
      <c r="R25" s="17" t="b">
        <f aca="false">FALSE()</f>
        <v>0</v>
      </c>
      <c r="S25" s="17" t="b">
        <f aca="false">FALSE()</f>
        <v>0</v>
      </c>
      <c r="T25" s="17" t="b">
        <f aca="false">FALSE()</f>
        <v>0</v>
      </c>
      <c r="U25" s="17" t="b">
        <f aca="false">FALSE()</f>
        <v>0</v>
      </c>
      <c r="V25" s="17" t="b">
        <f aca="false">FALSE()</f>
        <v>0</v>
      </c>
      <c r="W25" s="17" t="b">
        <f aca="false">FALSE()</f>
        <v>0</v>
      </c>
      <c r="X25" s="17" t="b">
        <f aca="false">FALSE()</f>
        <v>0</v>
      </c>
      <c r="Y25" s="17" t="b">
        <f aca="false">FALSE()</f>
        <v>0</v>
      </c>
      <c r="Z25" s="17" t="b">
        <f aca="false">FALSE()</f>
        <v>0</v>
      </c>
      <c r="AA25" s="17" t="b">
        <f aca="false">FALSE()</f>
        <v>0</v>
      </c>
      <c r="AB25" s="17" t="b">
        <f aca="false">FALSE()</f>
        <v>0</v>
      </c>
      <c r="AC25" s="17" t="b">
        <f aca="false">FALSE()</f>
        <v>0</v>
      </c>
      <c r="AD25" s="17" t="b">
        <f aca="false">FALSE()</f>
        <v>0</v>
      </c>
      <c r="AE25" s="17" t="b">
        <f aca="false">FALSE()</f>
        <v>0</v>
      </c>
      <c r="AF25" s="17" t="b">
        <f aca="false">FALSE()</f>
        <v>0</v>
      </c>
      <c r="AG25" s="17" t="b">
        <f aca="false">FALSE()</f>
        <v>0</v>
      </c>
      <c r="AH25" s="1"/>
      <c r="AI25" s="18" t="n">
        <f aca="false">IF($B25="","",$AP$3)</f>
        <v>31</v>
      </c>
      <c r="AJ25" s="18" t="n">
        <f aca="false">IF($B25="","",COUNTIF(C25:AG25,TRUE()))</f>
        <v>0</v>
      </c>
      <c r="AK25" s="18" t="n">
        <f aca="false">IF($B25="","",AI25-AJ25)</f>
        <v>31</v>
      </c>
      <c r="AL25" s="19" t="n">
        <f aca="false">IF($B25="","",AJ25/AI25)</f>
        <v>0</v>
      </c>
      <c r="AM25" s="20" t="n">
        <f aca="false">IF($B25="","",AJ25/AI25)</f>
        <v>0</v>
      </c>
      <c r="AN25" s="21" t="n">
        <f aca="false">IF($B25="",-1,AM25-ROW()/100000)</f>
        <v>-0.00025</v>
      </c>
      <c r="AO25" s="1"/>
    </row>
    <row r="26" customFormat="false" ht="18" hidden="false" customHeight="true" outlineLevel="0" collapsed="false">
      <c r="A26" s="1"/>
      <c r="B26" s="16" t="s">
        <v>44</v>
      </c>
      <c r="C26" s="17" t="b">
        <f aca="false">FALSE()</f>
        <v>0</v>
      </c>
      <c r="D26" s="17" t="b">
        <f aca="false">FALSE()</f>
        <v>0</v>
      </c>
      <c r="E26" s="17" t="b">
        <f aca="false">FALSE()</f>
        <v>0</v>
      </c>
      <c r="F26" s="17" t="b">
        <f aca="false">FALSE()</f>
        <v>0</v>
      </c>
      <c r="G26" s="17" t="b">
        <f aca="false">FALSE()</f>
        <v>0</v>
      </c>
      <c r="H26" s="17" t="b">
        <f aca="false">FALSE()</f>
        <v>0</v>
      </c>
      <c r="I26" s="17" t="b">
        <f aca="false">FALSE()</f>
        <v>0</v>
      </c>
      <c r="J26" s="17" t="b">
        <f aca="false">FALSE()</f>
        <v>0</v>
      </c>
      <c r="K26" s="17" t="b">
        <f aca="false">FALSE()</f>
        <v>0</v>
      </c>
      <c r="L26" s="17" t="b">
        <f aca="false">FALSE()</f>
        <v>0</v>
      </c>
      <c r="M26" s="17" t="b">
        <f aca="false">FALSE()</f>
        <v>0</v>
      </c>
      <c r="N26" s="17" t="b">
        <f aca="false">FALSE()</f>
        <v>0</v>
      </c>
      <c r="O26" s="17" t="b">
        <f aca="false">FALSE()</f>
        <v>0</v>
      </c>
      <c r="P26" s="17" t="b">
        <f aca="false">FALSE()</f>
        <v>0</v>
      </c>
      <c r="Q26" s="17" t="b">
        <f aca="false">FALSE()</f>
        <v>0</v>
      </c>
      <c r="R26" s="17" t="b">
        <f aca="false">FALSE()</f>
        <v>0</v>
      </c>
      <c r="S26" s="17" t="b">
        <f aca="false">FALSE()</f>
        <v>0</v>
      </c>
      <c r="T26" s="17" t="b">
        <f aca="false">FALSE()</f>
        <v>0</v>
      </c>
      <c r="U26" s="17" t="b">
        <f aca="false">FALSE()</f>
        <v>0</v>
      </c>
      <c r="V26" s="17" t="b">
        <f aca="false">FALSE()</f>
        <v>0</v>
      </c>
      <c r="W26" s="17" t="b">
        <f aca="false">FALSE()</f>
        <v>0</v>
      </c>
      <c r="X26" s="17" t="b">
        <f aca="false">FALSE()</f>
        <v>0</v>
      </c>
      <c r="Y26" s="17" t="b">
        <f aca="false">FALSE()</f>
        <v>0</v>
      </c>
      <c r="Z26" s="17" t="b">
        <f aca="false">FALSE()</f>
        <v>0</v>
      </c>
      <c r="AA26" s="17" t="b">
        <f aca="false">FALSE()</f>
        <v>0</v>
      </c>
      <c r="AB26" s="17" t="b">
        <f aca="false">FALSE()</f>
        <v>0</v>
      </c>
      <c r="AC26" s="17" t="b">
        <f aca="false">FALSE()</f>
        <v>0</v>
      </c>
      <c r="AD26" s="17" t="b">
        <f aca="false">FALSE()</f>
        <v>0</v>
      </c>
      <c r="AE26" s="17" t="b">
        <f aca="false">FALSE()</f>
        <v>0</v>
      </c>
      <c r="AF26" s="17" t="b">
        <f aca="false">FALSE()</f>
        <v>0</v>
      </c>
      <c r="AG26" s="17" t="b">
        <f aca="false">FALSE()</f>
        <v>0</v>
      </c>
      <c r="AH26" s="1"/>
      <c r="AI26" s="18" t="n">
        <f aca="false">IF($B26="","",$AP$3)</f>
        <v>31</v>
      </c>
      <c r="AJ26" s="18" t="n">
        <f aca="false">IF($B26="","",COUNTIF(C26:AG26,TRUE()))</f>
        <v>0</v>
      </c>
      <c r="AK26" s="18" t="n">
        <f aca="false">IF($B26="","",AI26-AJ26)</f>
        <v>31</v>
      </c>
      <c r="AL26" s="19" t="n">
        <f aca="false">IF($B26="","",AJ26/AI26)</f>
        <v>0</v>
      </c>
      <c r="AM26" s="20" t="n">
        <f aca="false">IF($B26="","",AJ26/AI26)</f>
        <v>0</v>
      </c>
      <c r="AN26" s="21" t="n">
        <f aca="false">IF($B26="",-1,AM26-ROW()/100000)</f>
        <v>-0.00026</v>
      </c>
      <c r="AO26" s="1"/>
    </row>
    <row r="27" customFormat="false" ht="18" hidden="false" customHeight="true" outlineLevel="0" collapsed="false">
      <c r="A27" s="1"/>
      <c r="B27" s="16"/>
      <c r="C27" s="17" t="b">
        <f aca="false">FALSE()</f>
        <v>0</v>
      </c>
      <c r="D27" s="17" t="b">
        <f aca="false">FALSE()</f>
        <v>0</v>
      </c>
      <c r="E27" s="17" t="b">
        <f aca="false">FALSE()</f>
        <v>0</v>
      </c>
      <c r="F27" s="17" t="b">
        <f aca="false">FALSE()</f>
        <v>0</v>
      </c>
      <c r="G27" s="17" t="b">
        <f aca="false">FALSE()</f>
        <v>0</v>
      </c>
      <c r="H27" s="17" t="b">
        <f aca="false">FALSE()</f>
        <v>0</v>
      </c>
      <c r="I27" s="17" t="b">
        <f aca="false">FALSE()</f>
        <v>0</v>
      </c>
      <c r="J27" s="17" t="b">
        <f aca="false">FALSE()</f>
        <v>0</v>
      </c>
      <c r="K27" s="17" t="b">
        <f aca="false">FALSE()</f>
        <v>0</v>
      </c>
      <c r="L27" s="17" t="b">
        <f aca="false">FALSE()</f>
        <v>0</v>
      </c>
      <c r="M27" s="17" t="b">
        <f aca="false">FALSE()</f>
        <v>0</v>
      </c>
      <c r="N27" s="17" t="b">
        <f aca="false">FALSE()</f>
        <v>0</v>
      </c>
      <c r="O27" s="17" t="b">
        <f aca="false">FALSE()</f>
        <v>0</v>
      </c>
      <c r="P27" s="17" t="b">
        <f aca="false">FALSE()</f>
        <v>0</v>
      </c>
      <c r="Q27" s="17" t="b">
        <f aca="false">FALSE()</f>
        <v>0</v>
      </c>
      <c r="R27" s="17" t="b">
        <f aca="false">FALSE()</f>
        <v>0</v>
      </c>
      <c r="S27" s="17" t="b">
        <f aca="false">FALSE()</f>
        <v>0</v>
      </c>
      <c r="T27" s="17" t="b">
        <f aca="false">FALSE()</f>
        <v>0</v>
      </c>
      <c r="U27" s="17" t="b">
        <f aca="false">FALSE()</f>
        <v>0</v>
      </c>
      <c r="V27" s="17" t="b">
        <f aca="false">FALSE()</f>
        <v>0</v>
      </c>
      <c r="W27" s="17" t="b">
        <f aca="false">FALSE()</f>
        <v>0</v>
      </c>
      <c r="X27" s="17" t="b">
        <f aca="false">FALSE()</f>
        <v>0</v>
      </c>
      <c r="Y27" s="17" t="b">
        <f aca="false">FALSE()</f>
        <v>0</v>
      </c>
      <c r="Z27" s="17" t="b">
        <f aca="false">FALSE()</f>
        <v>0</v>
      </c>
      <c r="AA27" s="17" t="b">
        <f aca="false">FALSE()</f>
        <v>0</v>
      </c>
      <c r="AB27" s="17" t="b">
        <f aca="false">FALSE()</f>
        <v>0</v>
      </c>
      <c r="AC27" s="17" t="b">
        <f aca="false">FALSE()</f>
        <v>0</v>
      </c>
      <c r="AD27" s="17" t="b">
        <f aca="false">FALSE()</f>
        <v>0</v>
      </c>
      <c r="AE27" s="17" t="b">
        <f aca="false">FALSE()</f>
        <v>0</v>
      </c>
      <c r="AF27" s="17" t="b">
        <f aca="false">FALSE()</f>
        <v>0</v>
      </c>
      <c r="AG27" s="17" t="b">
        <f aca="false">FALSE()</f>
        <v>0</v>
      </c>
      <c r="AH27" s="1"/>
      <c r="AI27" s="18" t="str">
        <f aca="false">IF($B27="","",$AP$3)</f>
        <v/>
      </c>
      <c r="AJ27" s="18" t="str">
        <f aca="false">IF($B27="","",COUNTIF(C27:AG27,TRUE()))</f>
        <v/>
      </c>
      <c r="AK27" s="18" t="str">
        <f aca="false">IF($B27="","",AI27-AJ27)</f>
        <v/>
      </c>
      <c r="AL27" s="19" t="str">
        <f aca="false">IF($B27="","",AJ27/AI27)</f>
        <v/>
      </c>
      <c r="AM27" s="20" t="str">
        <f aca="false">IF($B27="","",AJ27/AI27)</f>
        <v/>
      </c>
      <c r="AN27" s="1" t="n">
        <f aca="false">IF($B27="",-1,AM27-ROW()/100000)</f>
        <v>-1</v>
      </c>
      <c r="AO27" s="1"/>
    </row>
    <row r="28" customFormat="false" ht="18" hidden="false" customHeight="true" outlineLevel="0" collapsed="false">
      <c r="A28" s="1"/>
      <c r="B28" s="16"/>
      <c r="C28" s="17" t="b">
        <f aca="false">FALSE()</f>
        <v>0</v>
      </c>
      <c r="D28" s="17" t="b">
        <f aca="false">FALSE()</f>
        <v>0</v>
      </c>
      <c r="E28" s="17" t="b">
        <f aca="false">FALSE()</f>
        <v>0</v>
      </c>
      <c r="F28" s="17" t="b">
        <f aca="false">FALSE()</f>
        <v>0</v>
      </c>
      <c r="G28" s="17" t="b">
        <f aca="false">FALSE()</f>
        <v>0</v>
      </c>
      <c r="H28" s="17" t="b">
        <f aca="false">FALSE()</f>
        <v>0</v>
      </c>
      <c r="I28" s="17" t="b">
        <f aca="false">FALSE()</f>
        <v>0</v>
      </c>
      <c r="J28" s="17" t="b">
        <f aca="false">FALSE()</f>
        <v>0</v>
      </c>
      <c r="K28" s="17" t="b">
        <f aca="false">FALSE()</f>
        <v>0</v>
      </c>
      <c r="L28" s="17" t="b">
        <f aca="false">FALSE()</f>
        <v>0</v>
      </c>
      <c r="M28" s="17" t="b">
        <f aca="false">FALSE()</f>
        <v>0</v>
      </c>
      <c r="N28" s="17" t="b">
        <f aca="false">FALSE()</f>
        <v>0</v>
      </c>
      <c r="O28" s="17" t="b">
        <f aca="false">FALSE()</f>
        <v>0</v>
      </c>
      <c r="P28" s="17" t="b">
        <f aca="false">FALSE()</f>
        <v>0</v>
      </c>
      <c r="Q28" s="17" t="b">
        <f aca="false">FALSE()</f>
        <v>0</v>
      </c>
      <c r="R28" s="17" t="b">
        <f aca="false">FALSE()</f>
        <v>0</v>
      </c>
      <c r="S28" s="17" t="b">
        <f aca="false">FALSE()</f>
        <v>0</v>
      </c>
      <c r="T28" s="17" t="b">
        <f aca="false">FALSE()</f>
        <v>0</v>
      </c>
      <c r="U28" s="17" t="b">
        <f aca="false">FALSE()</f>
        <v>0</v>
      </c>
      <c r="V28" s="17" t="b">
        <f aca="false">FALSE()</f>
        <v>0</v>
      </c>
      <c r="W28" s="17" t="b">
        <f aca="false">FALSE()</f>
        <v>0</v>
      </c>
      <c r="X28" s="17" t="b">
        <f aca="false">FALSE()</f>
        <v>0</v>
      </c>
      <c r="Y28" s="17" t="b">
        <f aca="false">FALSE()</f>
        <v>0</v>
      </c>
      <c r="Z28" s="17" t="b">
        <f aca="false">FALSE()</f>
        <v>0</v>
      </c>
      <c r="AA28" s="17" t="b">
        <f aca="false">FALSE()</f>
        <v>0</v>
      </c>
      <c r="AB28" s="17" t="b">
        <f aca="false">FALSE()</f>
        <v>0</v>
      </c>
      <c r="AC28" s="17" t="b">
        <f aca="false">FALSE()</f>
        <v>0</v>
      </c>
      <c r="AD28" s="17" t="b">
        <f aca="false">FALSE()</f>
        <v>0</v>
      </c>
      <c r="AE28" s="17" t="b">
        <f aca="false">FALSE()</f>
        <v>0</v>
      </c>
      <c r="AF28" s="17" t="b">
        <f aca="false">FALSE()</f>
        <v>0</v>
      </c>
      <c r="AG28" s="17" t="b">
        <f aca="false">FALSE()</f>
        <v>0</v>
      </c>
      <c r="AH28" s="1"/>
      <c r="AI28" s="18" t="str">
        <f aca="false">IF($B28="","",$AP$3)</f>
        <v/>
      </c>
      <c r="AJ28" s="18" t="str">
        <f aca="false">IF($B28="","",COUNTIF(C28:AG28,TRUE()))</f>
        <v/>
      </c>
      <c r="AK28" s="18" t="str">
        <f aca="false">IF($B28="","",AI28-AJ28)</f>
        <v/>
      </c>
      <c r="AL28" s="19" t="str">
        <f aca="false">IF($B28="","",AJ28/AI28)</f>
        <v/>
      </c>
      <c r="AM28" s="20" t="str">
        <f aca="false">IF($B28="","",AJ28/AI28)</f>
        <v/>
      </c>
      <c r="AN28" s="1" t="n">
        <f aca="false">IF($B28="",-1,AM28-ROW()/100000)</f>
        <v>-1</v>
      </c>
      <c r="AO28" s="1"/>
    </row>
    <row r="29" customFormat="false" ht="15" hidden="false" customHeight="false" outlineLevel="0" collapsed="false">
      <c r="A29" s="1"/>
      <c r="B29" s="22" t="s">
        <v>45</v>
      </c>
      <c r="C29" s="23" t="n">
        <f aca="false">IF(OR(C$16="",SUMPRODUCT(--(LEN($B$17:$B$28)&gt;0))=0),"",SUMPRODUCT(($B$17:$B$28&lt;&gt;"")*(C$17:C$28=TRUE()))/SUMPRODUCT(--(LEN($B$17:$B$28)&gt;0)))</f>
        <v>0</v>
      </c>
      <c r="D29" s="23" t="n">
        <f aca="false">IF(OR(D$16="",SUMPRODUCT(--(LEN($B$17:$B$28)&gt;0))=0),"",SUMPRODUCT(($B$17:$B$28&lt;&gt;"")*(D$17:D$28=TRUE()))/SUMPRODUCT(--(LEN($B$17:$B$28)&gt;0)))</f>
        <v>0</v>
      </c>
      <c r="E29" s="23" t="n">
        <f aca="false">IF(OR(E$16="",SUMPRODUCT(--(LEN($B$17:$B$28)&gt;0))=0),"",SUMPRODUCT(($B$17:$B$28&lt;&gt;"")*(E$17:E$28=TRUE()))/SUMPRODUCT(--(LEN($B$17:$B$28)&gt;0)))</f>
        <v>0</v>
      </c>
      <c r="F29" s="23" t="n">
        <f aca="false">IF(OR(F$16="",SUMPRODUCT(--(LEN($B$17:$B$28)&gt;0))=0),"",SUMPRODUCT(($B$17:$B$28&lt;&gt;"")*(F$17:F$28=TRUE()))/SUMPRODUCT(--(LEN($B$17:$B$28)&gt;0)))</f>
        <v>0</v>
      </c>
      <c r="G29" s="23" t="n">
        <f aca="false">IF(OR(G$16="",SUMPRODUCT(--(LEN($B$17:$B$28)&gt;0))=0),"",SUMPRODUCT(($B$17:$B$28&lt;&gt;"")*(G$17:G$28=TRUE()))/SUMPRODUCT(--(LEN($B$17:$B$28)&gt;0)))</f>
        <v>0</v>
      </c>
      <c r="H29" s="23" t="n">
        <f aca="false">IF(OR(H$16="",SUMPRODUCT(--(LEN($B$17:$B$28)&gt;0))=0),"",SUMPRODUCT(($B$17:$B$28&lt;&gt;"")*(H$17:H$28=TRUE()))/SUMPRODUCT(--(LEN($B$17:$B$28)&gt;0)))</f>
        <v>0</v>
      </c>
      <c r="I29" s="23" t="n">
        <f aca="false">IF(OR(I$16="",SUMPRODUCT(--(LEN($B$17:$B$28)&gt;0))=0),"",SUMPRODUCT(($B$17:$B$28&lt;&gt;"")*(I$17:I$28=TRUE()))/SUMPRODUCT(--(LEN($B$17:$B$28)&gt;0)))</f>
        <v>0</v>
      </c>
      <c r="J29" s="23" t="n">
        <f aca="false">IF(OR(J$16="",SUMPRODUCT(--(LEN($B$17:$B$28)&gt;0))=0),"",SUMPRODUCT(($B$17:$B$28&lt;&gt;"")*(J$17:J$28=TRUE()))/SUMPRODUCT(--(LEN($B$17:$B$28)&gt;0)))</f>
        <v>0</v>
      </c>
      <c r="K29" s="23" t="n">
        <f aca="false">IF(OR(K$16="",SUMPRODUCT(--(LEN($B$17:$B$28)&gt;0))=0),"",SUMPRODUCT(($B$17:$B$28&lt;&gt;"")*(K$17:K$28=TRUE()))/SUMPRODUCT(--(LEN($B$17:$B$28)&gt;0)))</f>
        <v>0</v>
      </c>
      <c r="L29" s="23" t="n">
        <f aca="false">IF(OR(L$16="",SUMPRODUCT(--(LEN($B$17:$B$28)&gt;0))=0),"",SUMPRODUCT(($B$17:$B$28&lt;&gt;"")*(L$17:L$28=TRUE()))/SUMPRODUCT(--(LEN($B$17:$B$28)&gt;0)))</f>
        <v>0</v>
      </c>
      <c r="M29" s="23" t="n">
        <f aca="false">IF(OR(M$16="",SUMPRODUCT(--(LEN($B$17:$B$28)&gt;0))=0),"",SUMPRODUCT(($B$17:$B$28&lt;&gt;"")*(M$17:M$28=TRUE()))/SUMPRODUCT(--(LEN($B$17:$B$28)&gt;0)))</f>
        <v>0</v>
      </c>
      <c r="N29" s="23" t="n">
        <f aca="false">IF(OR(N$16="",SUMPRODUCT(--(LEN($B$17:$B$28)&gt;0))=0),"",SUMPRODUCT(($B$17:$B$28&lt;&gt;"")*(N$17:N$28=TRUE()))/SUMPRODUCT(--(LEN($B$17:$B$28)&gt;0)))</f>
        <v>0</v>
      </c>
      <c r="O29" s="23" t="n">
        <f aca="false">IF(OR(O$16="",SUMPRODUCT(--(LEN($B$17:$B$28)&gt;0))=0),"",SUMPRODUCT(($B$17:$B$28&lt;&gt;"")*(O$17:O$28=TRUE()))/SUMPRODUCT(--(LEN($B$17:$B$28)&gt;0)))</f>
        <v>0</v>
      </c>
      <c r="P29" s="23" t="n">
        <f aca="false">IF(OR(P$16="",SUMPRODUCT(--(LEN($B$17:$B$28)&gt;0))=0),"",SUMPRODUCT(($B$17:$B$28&lt;&gt;"")*(P$17:P$28=TRUE()))/SUMPRODUCT(--(LEN($B$17:$B$28)&gt;0)))</f>
        <v>0</v>
      </c>
      <c r="Q29" s="23" t="n">
        <f aca="false">IF(OR(Q$16="",SUMPRODUCT(--(LEN($B$17:$B$28)&gt;0))=0),"",SUMPRODUCT(($B$17:$B$28&lt;&gt;"")*(Q$17:Q$28=TRUE()))/SUMPRODUCT(--(LEN($B$17:$B$28)&gt;0)))</f>
        <v>0</v>
      </c>
      <c r="R29" s="23" t="n">
        <f aca="false">IF(OR(R$16="",SUMPRODUCT(--(LEN($B$17:$B$28)&gt;0))=0),"",SUMPRODUCT(($B$17:$B$28&lt;&gt;"")*(R$17:R$28=TRUE()))/SUMPRODUCT(--(LEN($B$17:$B$28)&gt;0)))</f>
        <v>0</v>
      </c>
      <c r="S29" s="23" t="n">
        <f aca="false">IF(OR(S$16="",SUMPRODUCT(--(LEN($B$17:$B$28)&gt;0))=0),"",SUMPRODUCT(($B$17:$B$28&lt;&gt;"")*(S$17:S$28=TRUE()))/SUMPRODUCT(--(LEN($B$17:$B$28)&gt;0)))</f>
        <v>0</v>
      </c>
      <c r="T29" s="23" t="n">
        <f aca="false">IF(OR(T$16="",SUMPRODUCT(--(LEN($B$17:$B$28)&gt;0))=0),"",SUMPRODUCT(($B$17:$B$28&lt;&gt;"")*(T$17:T$28=TRUE()))/SUMPRODUCT(--(LEN($B$17:$B$28)&gt;0)))</f>
        <v>0</v>
      </c>
      <c r="U29" s="23" t="n">
        <f aca="false">IF(OR(U$16="",SUMPRODUCT(--(LEN($B$17:$B$28)&gt;0))=0),"",SUMPRODUCT(($B$17:$B$28&lt;&gt;"")*(U$17:U$28=TRUE()))/SUMPRODUCT(--(LEN($B$17:$B$28)&gt;0)))</f>
        <v>0</v>
      </c>
      <c r="V29" s="23" t="n">
        <f aca="false">IF(OR(V$16="",SUMPRODUCT(--(LEN($B$17:$B$28)&gt;0))=0),"",SUMPRODUCT(($B$17:$B$28&lt;&gt;"")*(V$17:V$28=TRUE()))/SUMPRODUCT(--(LEN($B$17:$B$28)&gt;0)))</f>
        <v>0</v>
      </c>
      <c r="W29" s="23" t="n">
        <f aca="false">IF(OR(W$16="",SUMPRODUCT(--(LEN($B$17:$B$28)&gt;0))=0),"",SUMPRODUCT(($B$17:$B$28&lt;&gt;"")*(W$17:W$28=TRUE()))/SUMPRODUCT(--(LEN($B$17:$B$28)&gt;0)))</f>
        <v>0</v>
      </c>
      <c r="X29" s="23" t="n">
        <f aca="false">IF(OR(X$16="",SUMPRODUCT(--(LEN($B$17:$B$28)&gt;0))=0),"",SUMPRODUCT(($B$17:$B$28&lt;&gt;"")*(X$17:X$28=TRUE()))/SUMPRODUCT(--(LEN($B$17:$B$28)&gt;0)))</f>
        <v>0</v>
      </c>
      <c r="Y29" s="23" t="n">
        <f aca="false">IF(OR(Y$16="",SUMPRODUCT(--(LEN($B$17:$B$28)&gt;0))=0),"",SUMPRODUCT(($B$17:$B$28&lt;&gt;"")*(Y$17:Y$28=TRUE()))/SUMPRODUCT(--(LEN($B$17:$B$28)&gt;0)))</f>
        <v>0</v>
      </c>
      <c r="Z29" s="23" t="n">
        <f aca="false">IF(OR(Z$16="",SUMPRODUCT(--(LEN($B$17:$B$28)&gt;0))=0),"",SUMPRODUCT(($B$17:$B$28&lt;&gt;"")*(Z$17:Z$28=TRUE()))/SUMPRODUCT(--(LEN($B$17:$B$28)&gt;0)))</f>
        <v>0</v>
      </c>
      <c r="AA29" s="23" t="n">
        <f aca="false">IF(OR(AA$16="",SUMPRODUCT(--(LEN($B$17:$B$28)&gt;0))=0),"",SUMPRODUCT(($B$17:$B$28&lt;&gt;"")*(AA$17:AA$28=TRUE()))/SUMPRODUCT(--(LEN($B$17:$B$28)&gt;0)))</f>
        <v>0</v>
      </c>
      <c r="AB29" s="23" t="n">
        <f aca="false">IF(OR(AB$16="",SUMPRODUCT(--(LEN($B$17:$B$28)&gt;0))=0),"",SUMPRODUCT(($B$17:$B$28&lt;&gt;"")*(AB$17:AB$28=TRUE()))/SUMPRODUCT(--(LEN($B$17:$B$28)&gt;0)))</f>
        <v>0</v>
      </c>
      <c r="AC29" s="23" t="n">
        <f aca="false">IF(OR(AC$16="",SUMPRODUCT(--(LEN($B$17:$B$28)&gt;0))=0),"",SUMPRODUCT(($B$17:$B$28&lt;&gt;"")*(AC$17:AC$28=TRUE()))/SUMPRODUCT(--(LEN($B$17:$B$28)&gt;0)))</f>
        <v>0</v>
      </c>
      <c r="AD29" s="23" t="n">
        <f aca="false">IF(OR(AD$16="",SUMPRODUCT(--(LEN($B$17:$B$28)&gt;0))=0),"",SUMPRODUCT(($B$17:$B$28&lt;&gt;"")*(AD$17:AD$28=TRUE()))/SUMPRODUCT(--(LEN($B$17:$B$28)&gt;0)))</f>
        <v>0</v>
      </c>
      <c r="AE29" s="23" t="n">
        <f aca="false">IF(OR(AE$16="",SUMPRODUCT(--(LEN($B$17:$B$28)&gt;0))=0),"",SUMPRODUCT(($B$17:$B$28&lt;&gt;"")*(AE$17:AE$28=TRUE()))/SUMPRODUCT(--(LEN($B$17:$B$28)&gt;0)))</f>
        <v>0</v>
      </c>
      <c r="AF29" s="23" t="n">
        <f aca="false">IF(OR(AF$16="",SUMPRODUCT(--(LEN($B$17:$B$28)&gt;0))=0),"",SUMPRODUCT(($B$17:$B$28&lt;&gt;"")*(AF$17:AF$28=TRUE()))/SUMPRODUCT(--(LEN($B$17:$B$28)&gt;0)))</f>
        <v>0</v>
      </c>
      <c r="AG29" s="23" t="n">
        <f aca="false">IF(OR(AG$16="",SUMPRODUCT(--(LEN($B$17:$B$28)&gt;0))=0),"",SUMPRODUCT(($B$17:$B$28&lt;&gt;"")*(AG$17:AG$28=TRUE()))/SUMPRODUCT(--(LEN($B$17:$B$28)&gt;0)))</f>
        <v>0</v>
      </c>
      <c r="AH29" s="1"/>
      <c r="AI29" s="1"/>
      <c r="AJ29" s="1"/>
      <c r="AK29" s="1"/>
      <c r="AL29" s="1"/>
      <c r="AM29" s="1"/>
      <c r="AN29" s="1"/>
      <c r="AO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</row>
    <row r="31" customFormat="false" ht="15" hidden="false" customHeight="false" outlineLevel="0" collapsed="false">
      <c r="A31" s="1"/>
      <c r="B31" s="24"/>
      <c r="C31" s="12" t="s">
        <v>46</v>
      </c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"/>
      <c r="AI31" s="25" t="s">
        <v>47</v>
      </c>
      <c r="AJ31" s="25"/>
      <c r="AK31" s="25"/>
      <c r="AL31" s="25"/>
      <c r="AM31" s="25"/>
      <c r="AN31" s="1"/>
      <c r="AO31" s="1"/>
    </row>
    <row r="32" customFormat="false" ht="15.75" hidden="false" customHeight="true" outlineLevel="0" collapsed="false">
      <c r="A32" s="1"/>
      <c r="B32" s="7" t="s">
        <v>48</v>
      </c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1"/>
      <c r="AI32" s="27" t="n">
        <v>1</v>
      </c>
      <c r="AJ32" s="28" t="str">
        <f aca="false">IF(LARGE($AN$17:$AN$28,1)&lt;0,"",INDEX($B$17:$B$28,MATCH(LARGE($AN$17:$AN$28,1),$AN$17:$AN$28,0)))</f>
        <v/>
      </c>
      <c r="AK32" s="28"/>
      <c r="AL32" s="28"/>
      <c r="AM32" s="29" t="str">
        <f aca="false">IF(AJ32="","",INDEX($AM$17:$AM$28,MATCH(LARGE($AN$17:$AN$28,1),$AN$17:$AN$28,0)))</f>
        <v/>
      </c>
      <c r="AN32" s="1"/>
      <c r="AO32" s="1"/>
    </row>
    <row r="33" customFormat="false" ht="15.75" hidden="false" customHeight="true" outlineLevel="0" collapsed="false">
      <c r="A33" s="1"/>
      <c r="B33" s="7" t="s">
        <v>49</v>
      </c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1"/>
      <c r="AI33" s="27" t="n">
        <v>2</v>
      </c>
      <c r="AJ33" s="28" t="str">
        <f aca="false">IF(LARGE($AN$17:$AN$28,2)&lt;0,"",INDEX($B$17:$B$28,MATCH(LARGE($AN$17:$AN$28,2),$AN$17:$AN$28,0)))</f>
        <v/>
      </c>
      <c r="AK33" s="28"/>
      <c r="AL33" s="28"/>
      <c r="AM33" s="29" t="str">
        <f aca="false">IF(AJ33="","",INDEX($AM$17:$AM$28,MATCH(LARGE($AN$17:$AN$28,2),$AN$17:$AN$28,0)))</f>
        <v/>
      </c>
      <c r="AN33" s="1"/>
      <c r="AO33" s="1"/>
    </row>
    <row r="34" customFormat="false" ht="15.75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27" t="n">
        <v>3</v>
      </c>
      <c r="AJ34" s="28" t="str">
        <f aca="false">IF(LARGE($AN$17:$AN$28,3)&lt;0,"",INDEX($B$17:$B$28,MATCH(LARGE($AN$17:$AN$28,3),$AN$17:$AN$28,0)))</f>
        <v/>
      </c>
      <c r="AK34" s="28"/>
      <c r="AL34" s="28"/>
      <c r="AM34" s="29" t="str">
        <f aca="false">IF(AJ34="","",INDEX($AM$17:$AM$28,MATCH(LARGE($AN$17:$AN$28,3),$AN$17:$AN$28,0)))</f>
        <v/>
      </c>
      <c r="AN34" s="1"/>
      <c r="AO34" s="1"/>
    </row>
    <row r="35" customFormat="false" ht="15.75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27" t="n">
        <v>4</v>
      </c>
      <c r="AJ35" s="28" t="str">
        <f aca="false">IF(LARGE($AN$17:$AN$28,4)&lt;0,"",INDEX($B$17:$B$28,MATCH(LARGE($AN$17:$AN$28,4),$AN$17:$AN$28,0)))</f>
        <v/>
      </c>
      <c r="AK35" s="28"/>
      <c r="AL35" s="28"/>
      <c r="AM35" s="29" t="str">
        <f aca="false">IF(AJ35="","",INDEX($AM$17:$AM$28,MATCH(LARGE($AN$17:$AN$28,4),$AN$17:$AN$28,0)))</f>
        <v/>
      </c>
      <c r="AN35" s="1"/>
      <c r="AO35" s="1"/>
    </row>
    <row r="36" customFormat="false" ht="15.75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27" t="n">
        <v>5</v>
      </c>
      <c r="AJ36" s="28" t="str">
        <f aca="false">IF(LARGE($AN$17:$AN$28,5)&lt;0,"",INDEX($B$17:$B$28,MATCH(LARGE($AN$17:$AN$28,5),$AN$17:$AN$28,0)))</f>
        <v/>
      </c>
      <c r="AK36" s="28"/>
      <c r="AL36" s="28"/>
      <c r="AM36" s="29" t="str">
        <f aca="false">IF(AJ36="","",INDEX($AM$17:$AM$28,MATCH(LARGE($AN$17:$AN$28,5),$AN$17:$AN$28,0)))</f>
        <v/>
      </c>
      <c r="AN36" s="1"/>
      <c r="AO36" s="1"/>
    </row>
    <row r="37" customFormat="false" ht="15.75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27" t="n">
        <v>6</v>
      </c>
      <c r="AJ37" s="28" t="str">
        <f aca="false">IF(LARGE($AN$17:$AN$28,6)&lt;0,"",INDEX($B$17:$B$28,MATCH(LARGE($AN$17:$AN$28,6),$AN$17:$AN$28,0)))</f>
        <v/>
      </c>
      <c r="AK37" s="28"/>
      <c r="AL37" s="28"/>
      <c r="AM37" s="29" t="str">
        <f aca="false">IF(AJ37="","",INDEX($AM$17:$AM$28,MATCH(LARGE($AN$17:$AN$28,6),$AN$17:$AN$28,0)))</f>
        <v/>
      </c>
      <c r="AN37" s="1"/>
      <c r="AO37" s="1"/>
    </row>
    <row r="38" customFormat="false" ht="15.75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27" t="n">
        <v>7</v>
      </c>
      <c r="AJ38" s="28" t="str">
        <f aca="false">IF(LARGE($AN$17:$AN$28,7)&lt;0,"",INDEX($B$17:$B$28,MATCH(LARGE($AN$17:$AN$28,7),$AN$17:$AN$28,0)))</f>
        <v/>
      </c>
      <c r="AK38" s="28"/>
      <c r="AL38" s="28"/>
      <c r="AM38" s="29" t="str">
        <f aca="false">IF(AJ38="","",INDEX($AM$17:$AM$28,MATCH(LARGE($AN$17:$AN$28,7),$AN$17:$AN$28,0)))</f>
        <v/>
      </c>
      <c r="AN38" s="1"/>
      <c r="AO38" s="1"/>
    </row>
    <row r="39" customFormat="false" ht="15.75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27" t="n">
        <v>8</v>
      </c>
      <c r="AJ39" s="28" t="str">
        <f aca="false">IF(LARGE($AN$17:$AN$28,8)&lt;0,"",INDEX($B$17:$B$28,MATCH(LARGE($AN$17:$AN$28,8),$AN$17:$AN$28,0)))</f>
        <v/>
      </c>
      <c r="AK39" s="28"/>
      <c r="AL39" s="28"/>
      <c r="AM39" s="29" t="str">
        <f aca="false">IF(AJ39="","",INDEX($AM$17:$AM$28,MATCH(LARGE($AN$17:$AN$28,8),$AN$17:$AN$28,0)))</f>
        <v/>
      </c>
      <c r="AN39" s="1"/>
      <c r="AO39" s="1"/>
    </row>
    <row r="40" customFormat="false" ht="15.75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27" t="n">
        <v>9</v>
      </c>
      <c r="AJ40" s="28" t="str">
        <f aca="false">IF(LARGE($AN$17:$AN$28,9)&lt;0,"",INDEX($B$17:$B$28,MATCH(LARGE($AN$17:$AN$28,9),$AN$17:$AN$28,0)))</f>
        <v/>
      </c>
      <c r="AK40" s="28"/>
      <c r="AL40" s="28"/>
      <c r="AM40" s="29" t="str">
        <f aca="false">IF(AJ40="","",INDEX($AM$17:$AM$28,MATCH(LARGE($AN$17:$AN$28,9),$AN$17:$AN$28,0)))</f>
        <v/>
      </c>
      <c r="AN40" s="1"/>
      <c r="AO40" s="1"/>
    </row>
    <row r="41" customFormat="false" ht="15.75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27" t="n">
        <v>10</v>
      </c>
      <c r="AJ41" s="28" t="str">
        <f aca="false">IF(LARGE($AN$17:$AN$28,10)&lt;0,"",INDEX($B$17:$B$28,MATCH(LARGE($AN$17:$AN$28,10),$AN$17:$AN$28,0)))</f>
        <v/>
      </c>
      <c r="AK41" s="28"/>
      <c r="AL41" s="28"/>
      <c r="AM41" s="29" t="str">
        <f aca="false">IF(AJ41="","",INDEX($AM$17:$AM$28,MATCH(LARGE($AN$17:$AN$28,10),$AN$17:$AN$28,0)))</f>
        <v/>
      </c>
      <c r="AN41" s="1"/>
      <c r="AO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</row>
    <row r="48" customFormat="false" ht="15" hidden="true" customHeight="false" outlineLevel="0" collapsed="false">
      <c r="A48" s="1"/>
      <c r="B48" s="1"/>
      <c r="C48" s="1" t="str">
        <f aca="false">IF(C$16="","",C$15)</f>
        <v>We</v>
      </c>
      <c r="D48" s="1" t="str">
        <f aca="false">IF(D$16="","",D$15)</f>
        <v>Th</v>
      </c>
      <c r="E48" s="1" t="str">
        <f aca="false">IF(E$16="","",E$15)</f>
        <v>Fr</v>
      </c>
      <c r="F48" s="1" t="str">
        <f aca="false">IF(F$16="","",F$15)</f>
        <v>Sa</v>
      </c>
      <c r="G48" s="1" t="str">
        <f aca="false">IF(G$16="","",G$15)</f>
        <v>Su</v>
      </c>
      <c r="H48" s="1" t="str">
        <f aca="false">IF(H$16="","",H$15)</f>
        <v>Mo</v>
      </c>
      <c r="I48" s="1" t="str">
        <f aca="false">IF(I$16="","",I$15)</f>
        <v>Tu</v>
      </c>
      <c r="J48" s="1" t="str">
        <f aca="false">IF(J$16="","",J$15)</f>
        <v>We</v>
      </c>
      <c r="K48" s="1" t="str">
        <f aca="false">IF(K$16="","",K$15)</f>
        <v>Th</v>
      </c>
      <c r="L48" s="1" t="str">
        <f aca="false">IF(L$16="","",L$15)</f>
        <v>Fr</v>
      </c>
      <c r="M48" s="1" t="str">
        <f aca="false">IF(M$16="","",M$15)</f>
        <v>Sa</v>
      </c>
      <c r="N48" s="1" t="str">
        <f aca="false">IF(N$16="","",N$15)</f>
        <v>Su</v>
      </c>
      <c r="O48" s="1" t="str">
        <f aca="false">IF(O$16="","",O$15)</f>
        <v>Mo</v>
      </c>
      <c r="P48" s="1" t="str">
        <f aca="false">IF(P$16="","",P$15)</f>
        <v>Tu</v>
      </c>
      <c r="Q48" s="1" t="str">
        <f aca="false">IF(Q$16="","",Q$15)</f>
        <v>We</v>
      </c>
      <c r="R48" s="1" t="str">
        <f aca="false">IF(R$16="","",R$15)</f>
        <v>Th</v>
      </c>
      <c r="S48" s="1" t="str">
        <f aca="false">IF(S$16="","",S$15)</f>
        <v>Fr</v>
      </c>
      <c r="T48" s="1" t="str">
        <f aca="false">IF(T$16="","",T$15)</f>
        <v>Sa</v>
      </c>
      <c r="U48" s="1" t="str">
        <f aca="false">IF(U$16="","",U$15)</f>
        <v>Su</v>
      </c>
      <c r="V48" s="1" t="str">
        <f aca="false">IF(V$16="","",V$15)</f>
        <v>Mo</v>
      </c>
      <c r="W48" s="1" t="str">
        <f aca="false">IF(W$16="","",W$15)</f>
        <v>Tu</v>
      </c>
      <c r="X48" s="1" t="str">
        <f aca="false">IF(X$16="","",X$15)</f>
        <v>We</v>
      </c>
      <c r="Y48" s="1" t="str">
        <f aca="false">IF(Y$16="","",Y$15)</f>
        <v>Th</v>
      </c>
      <c r="Z48" s="1" t="str">
        <f aca="false">IF(Z$16="","",Z$15)</f>
        <v>Fr</v>
      </c>
      <c r="AA48" s="1" t="str">
        <f aca="false">IF(AA$16="","",AA$15)</f>
        <v>Sa</v>
      </c>
      <c r="AB48" s="1" t="str">
        <f aca="false">IF(AB$16="","",AB$15)</f>
        <v>Su</v>
      </c>
      <c r="AC48" s="1" t="str">
        <f aca="false">IF(AC$16="","",AC$15)</f>
        <v>Mo</v>
      </c>
      <c r="AD48" s="1" t="str">
        <f aca="false">IF(AD$16="","",AD$15)</f>
        <v>Tu</v>
      </c>
      <c r="AE48" s="1" t="str">
        <f aca="false">IF(AE$16="","",AE$15)</f>
        <v>We</v>
      </c>
      <c r="AF48" s="1" t="str">
        <f aca="false">IF(AF$16="","",AF$15)</f>
        <v>Th</v>
      </c>
      <c r="AG48" s="1" t="str">
        <f aca="false">IF(AG$16="","",AG$15)</f>
        <v>Fr</v>
      </c>
      <c r="AH48" s="1"/>
      <c r="AI48" s="1"/>
      <c r="AJ48" s="1"/>
      <c r="AK48" s="1"/>
      <c r="AL48" s="1"/>
      <c r="AM48" s="1"/>
      <c r="AN48" s="1"/>
      <c r="AO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</row>
  </sheetData>
  <mergeCells count="31">
    <mergeCell ref="B2:B3"/>
    <mergeCell ref="C2:Z2"/>
    <mergeCell ref="AA2:AG2"/>
    <mergeCell ref="AI2:AJ2"/>
    <mergeCell ref="AK2:AM2"/>
    <mergeCell ref="AI3:AJ4"/>
    <mergeCell ref="AK3:AM4"/>
    <mergeCell ref="AI5:AJ5"/>
    <mergeCell ref="AI6:AJ7"/>
    <mergeCell ref="AI8:AJ8"/>
    <mergeCell ref="AI9:AJ10"/>
    <mergeCell ref="B10:B12"/>
    <mergeCell ref="B14:B16"/>
    <mergeCell ref="C14:I14"/>
    <mergeCell ref="J14:P14"/>
    <mergeCell ref="Q14:W14"/>
    <mergeCell ref="X14:AD14"/>
    <mergeCell ref="AE14:AG14"/>
    <mergeCell ref="AI14:AM15"/>
    <mergeCell ref="C31:AG31"/>
    <mergeCell ref="AI31:AM31"/>
    <mergeCell ref="AJ32:AL32"/>
    <mergeCell ref="AJ33:AL33"/>
    <mergeCell ref="AJ34:AL34"/>
    <mergeCell ref="AJ35:AL35"/>
    <mergeCell ref="AJ36:AL36"/>
    <mergeCell ref="AJ37:AL37"/>
    <mergeCell ref="AJ38:AL38"/>
    <mergeCell ref="AJ39:AL39"/>
    <mergeCell ref="AJ40:AL40"/>
    <mergeCell ref="AJ41:AL41"/>
  </mergeCells>
  <conditionalFormatting sqref="C17:AG28">
    <cfRule type="expression" priority="2" aboveAverage="0" equalAverage="0" bottom="0" percent="0" rank="0" text="" dxfId="0">
      <formula>C$16=""</formula>
    </cfRule>
    <cfRule type="expression" priority="3" aboveAverage="0" equalAverage="0" bottom="0" percent="0" rank="0" text="" dxfId="1">
      <formula>C17=1</formula>
    </cfRule>
    <cfRule type="expression" priority="4" aboveAverage="0" equalAverage="0" bottom="0" percent="0" rank="0" text="" dxfId="2">
      <formula>C17=0</formula>
    </cfRule>
  </conditionalFormatting>
  <conditionalFormatting sqref="C32:AG33">
    <cfRule type="expression" priority="5" aboveAverage="0" equalAverage="0" bottom="0" percent="0" rank="0" text="" dxfId="3">
      <formula>C$16=""</formula>
    </cfRule>
  </conditionalFormatting>
  <conditionalFormatting sqref="AL17:AL28">
    <cfRule type="dataBar" priority="6">
      <dataBar showValue="1" minLength="10" maxLength="90">
        <cfvo type="num" val="0"/>
        <cfvo type="num" val="1"/>
        <color rgb="FF1F2433"/>
      </dataBar>
      <extLst>
        <ext xmlns:x14="http://schemas.microsoft.com/office/spreadsheetml/2009/9/main" uri="{B025F937-C7B1-47D3-B67F-A62EFF666E3E}">
          <x14:id>{89CC63A2-10CC-488D-957B-1B88B136EBC6}</x14:id>
        </ext>
      </extLst>
    </cfRule>
  </conditionalFormatting>
  <dataValidations count="4">
    <dataValidation allowBlank="false" errorStyle="stop" operator="between" showDropDown="false" showErrorMessage="false" showInputMessage="false" sqref="B9" type="list">
      <formula1>"January,February,March,April,May,June,July,August,September,October,November,December"</formula1>
      <formula2>0</formula2>
    </dataValidation>
    <dataValidation allowBlank="true" errorStyle="stop" operator="between" showDropDown="false" showErrorMessage="false" showInputMessage="false" sqref="C17:AG28" type="list">
      <formula1>"TRUE,FALSE"</formula1>
      <formula2>0</formula2>
    </dataValidation>
    <dataValidation allowBlank="true" errorStyle="stop" operator="between" showDropDown="false" showErrorMessage="false" showInputMessage="false" sqref="C32:AG32" type="list">
      <formula1>"1,2,3,4,5,6,7,8,9,10"</formula1>
      <formula2>0</formula2>
    </dataValidation>
    <dataValidation allowBlank="true" errorStyle="stop" operator="between" showDropDown="false" showErrorMessage="false" showInputMessage="false" sqref="C33:AG33" type="list">
      <formula1>"0,1,2,3,4,5,6,7,8,9,10,11,12"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9CC63A2-10CC-488D-957B-1B88B136EBC6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1F2433"/>
              <x14:axisColor rgb="FF000000"/>
            </x14:dataBar>
          </x14:cfRule>
          <xm:sqref>AL17:AL28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433"/>
    <pageSetUpPr fitToPage="false"/>
  </sheetPr>
  <dimension ref="A1:AQ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0" topLeftCell="C1" activePane="topRight" state="frozen"/>
      <selection pane="topLeft" activeCell="A1" activeCellId="0" sqref="A1"/>
      <selection pane="top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3" min="3" style="0" width="3.9"/>
    <col collapsed="false" customWidth="true" hidden="false" outlineLevel="0" max="34" min="34" style="0" width="2"/>
    <col collapsed="false" customWidth="true" hidden="false" outlineLevel="0" max="36" min="35" style="0" width="8"/>
    <col collapsed="false" customWidth="true" hidden="false" outlineLevel="0" max="37" min="37" style="0" width="7"/>
    <col collapsed="false" customWidth="true" hidden="false" outlineLevel="0" max="38" min="38" style="0" width="14"/>
    <col collapsed="false" customWidth="true" hidden="false" outlineLevel="0" max="39" min="39" style="0" width="8"/>
    <col collapsed="false" customWidth="true" hidden="true" outlineLevel="0" max="43" min="40" style="0" width="13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Q1" s="2" t="s">
        <v>0</v>
      </c>
    </row>
    <row r="2" customFormat="false" ht="21.75" hidden="false" customHeight="true" outlineLevel="0" collapsed="false">
      <c r="A2" s="1"/>
      <c r="B2" s="3" t="s">
        <v>1</v>
      </c>
      <c r="C2" s="4" t="s">
        <v>2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 t="s">
        <v>3</v>
      </c>
      <c r="AB2" s="4"/>
      <c r="AC2" s="4"/>
      <c r="AD2" s="4"/>
      <c r="AE2" s="4"/>
      <c r="AF2" s="4"/>
      <c r="AG2" s="4"/>
      <c r="AH2" s="1"/>
      <c r="AI2" s="4" t="s">
        <v>4</v>
      </c>
      <c r="AJ2" s="4"/>
      <c r="AK2" s="4" t="s">
        <v>5</v>
      </c>
      <c r="AL2" s="4"/>
      <c r="AM2" s="4"/>
      <c r="AN2" s="1"/>
      <c r="AO2" s="1" t="s">
        <v>6</v>
      </c>
      <c r="AP2" s="2" t="n">
        <f aca="false">MATCH($B$9,$AQ$1:$AQ$12,0)</f>
        <v>8</v>
      </c>
      <c r="AQ2" s="2" t="s">
        <v>7</v>
      </c>
    </row>
    <row r="3" customFormat="false" ht="15.75" hidden="false" customHeight="true" outlineLevel="0" collapsed="false">
      <c r="A3" s="1"/>
      <c r="B3" s="3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5" t="n">
        <f aca="false">SUMPRODUCT(--(LEN($B$17:$B$28)&gt;0))*$AP$3</f>
        <v>310</v>
      </c>
      <c r="AJ3" s="5"/>
      <c r="AK3" s="6" t="n">
        <f aca="false">IF(AI3=0,0,AI6/AI3)</f>
        <v>0</v>
      </c>
      <c r="AL3" s="6"/>
      <c r="AM3" s="6"/>
      <c r="AN3" s="1"/>
      <c r="AO3" s="1" t="s">
        <v>8</v>
      </c>
      <c r="AP3" s="2" t="n">
        <f aca="false">DAY(DATE($B$7,$AP$2+1,0))</f>
        <v>31</v>
      </c>
      <c r="AQ3" s="2" t="s">
        <v>9</v>
      </c>
    </row>
    <row r="4" customFormat="false" ht="15.7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5"/>
      <c r="AJ4" s="5"/>
      <c r="AK4" s="6"/>
      <c r="AL4" s="6"/>
      <c r="AM4" s="6"/>
      <c r="AN4" s="1"/>
      <c r="AO4" s="1"/>
      <c r="AQ4" s="2" t="s">
        <v>10</v>
      </c>
    </row>
    <row r="5" customFormat="false" ht="15.75" hidden="false" customHeight="true" outlineLevel="0" collapsed="false">
      <c r="A5" s="1"/>
      <c r="B5" s="7" t="s">
        <v>11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4" t="s">
        <v>12</v>
      </c>
      <c r="AJ5" s="4"/>
      <c r="AK5" s="1"/>
      <c r="AL5" s="1"/>
      <c r="AM5" s="1"/>
      <c r="AN5" s="1"/>
      <c r="AO5" s="1" t="s">
        <v>12</v>
      </c>
      <c r="AP5" s="2" t="n">
        <f aca="false">AI6</f>
        <v>0</v>
      </c>
      <c r="AQ5" s="2" t="s">
        <v>13</v>
      </c>
    </row>
    <row r="6" customFormat="false" ht="15.75" hidden="false" customHeight="true" outlineLevel="0" collapsed="false">
      <c r="A6" s="1"/>
      <c r="B6" s="8" t="s">
        <v>14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5" t="n">
        <f aca="false">SUMPRODUCT(($B$17:$B$28&lt;&gt;"")*($C$17:$AG$28=TRUE()))</f>
        <v>0</v>
      </c>
      <c r="AJ6" s="5"/>
      <c r="AK6" s="1"/>
      <c r="AL6" s="1"/>
      <c r="AM6" s="1"/>
      <c r="AN6" s="1"/>
      <c r="AO6" s="1" t="s">
        <v>15</v>
      </c>
      <c r="AP6" s="2" t="n">
        <f aca="false">AI9</f>
        <v>310</v>
      </c>
      <c r="AQ6" s="2" t="s">
        <v>16</v>
      </c>
    </row>
    <row r="7" customFormat="false" ht="15.75" hidden="false" customHeight="true" outlineLevel="0" collapsed="false">
      <c r="A7" s="1"/>
      <c r="B7" s="30" t="n">
        <f aca="false">January!$B$7</f>
        <v>2026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5"/>
      <c r="AJ7" s="5"/>
      <c r="AK7" s="1"/>
      <c r="AL7" s="1"/>
      <c r="AM7" s="1"/>
      <c r="AN7" s="1"/>
      <c r="AO7" s="1"/>
      <c r="AQ7" s="2" t="s">
        <v>17</v>
      </c>
    </row>
    <row r="8" customFormat="false" ht="15.75" hidden="false" customHeight="true" outlineLevel="0" collapsed="false">
      <c r="A8" s="1"/>
      <c r="B8" s="8" t="s">
        <v>18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4" t="s">
        <v>15</v>
      </c>
      <c r="AJ8" s="4"/>
      <c r="AK8" s="1"/>
      <c r="AL8" s="1"/>
      <c r="AM8" s="1"/>
      <c r="AN8" s="1"/>
      <c r="AO8" s="1" t="s">
        <v>19</v>
      </c>
      <c r="AP8" s="2" t="n">
        <f aca="false">IF(OR(COUNTIF(C$16:I$16,"&gt;0")=0,SUMPRODUCT(--(LEN($B$17:$B$28)&gt;0))=0),0,SUMPRODUCT(($B$17:$B$28&lt;&gt;"")*(C$17:I$28=TRUE()))/(SUMPRODUCT(--(LEN($B$17:$B$28)&gt;0))*COUNTIF(C$16:I$16,"&gt;0")))</f>
        <v>0</v>
      </c>
      <c r="AQ8" s="2" t="s">
        <v>20</v>
      </c>
    </row>
    <row r="9" customFormat="false" ht="15.75" hidden="false" customHeight="true" outlineLevel="0" collapsed="false">
      <c r="A9" s="1"/>
      <c r="B9" s="9" t="s">
        <v>20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5" t="n">
        <f aca="false">AI3-AI6</f>
        <v>310</v>
      </c>
      <c r="AJ9" s="5"/>
      <c r="AK9" s="1"/>
      <c r="AL9" s="1"/>
      <c r="AM9" s="1"/>
      <c r="AN9" s="1"/>
      <c r="AO9" s="1" t="s">
        <v>21</v>
      </c>
      <c r="AP9" s="2" t="n">
        <f aca="false">IF(OR(COUNTIF(J$16:P$16,"&gt;0")=0,SUMPRODUCT(--(LEN($B$17:$B$28)&gt;0))=0),0,SUMPRODUCT(($B$17:$B$28&lt;&gt;"")*(J$17:P$28=TRUE()))/(SUMPRODUCT(--(LEN($B$17:$B$28)&gt;0))*COUNTIF(J$16:P$16,"&gt;0")))</f>
        <v>0</v>
      </c>
      <c r="AQ9" s="2" t="s">
        <v>22</v>
      </c>
    </row>
    <row r="10" customFormat="false" ht="15.75" hidden="false" customHeight="true" outlineLevel="0" collapsed="false">
      <c r="A10" s="1"/>
      <c r="B10" s="10" t="s">
        <v>23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5"/>
      <c r="AJ10" s="5"/>
      <c r="AK10" s="1"/>
      <c r="AL10" s="1"/>
      <c r="AM10" s="1"/>
      <c r="AN10" s="1"/>
      <c r="AO10" s="1" t="s">
        <v>24</v>
      </c>
      <c r="AP10" s="2" t="n">
        <f aca="false">IF(OR(COUNTIF(Q$16:W$16,"&gt;0")=0,SUMPRODUCT(--(LEN($B$17:$B$28)&gt;0))=0),0,SUMPRODUCT(($B$17:$B$28&lt;&gt;"")*(Q$17:W$28=TRUE()))/(SUMPRODUCT(--(LEN($B$17:$B$28)&gt;0))*COUNTIF(Q$16:W$16,"&gt;0")))</f>
        <v>0</v>
      </c>
      <c r="AQ10" s="2" t="s">
        <v>25</v>
      </c>
    </row>
    <row r="11" customFormat="false" ht="15.75" hidden="false" customHeight="true" outlineLevel="0" collapsed="false">
      <c r="A11" s="1"/>
      <c r="B11" s="10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 t="s">
        <v>26</v>
      </c>
      <c r="AP11" s="2" t="n">
        <f aca="false">IF(OR(COUNTIF(X$16:AD$16,"&gt;0")=0,SUMPRODUCT(--(LEN($B$17:$B$28)&gt;0))=0),0,SUMPRODUCT(($B$17:$B$28&lt;&gt;"")*(X$17:AD$28=TRUE()))/(SUMPRODUCT(--(LEN($B$17:$B$28)&gt;0))*COUNTIF(X$16:AD$16,"&gt;0")))</f>
        <v>0</v>
      </c>
      <c r="AQ11" s="2" t="s">
        <v>27</v>
      </c>
    </row>
    <row r="12" customFormat="false" ht="15.75" hidden="false" customHeight="true" outlineLevel="0" collapsed="false">
      <c r="A12" s="1"/>
      <c r="B12" s="10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 t="s">
        <v>28</v>
      </c>
      <c r="AP12" s="2" t="n">
        <f aca="false">IF(OR(COUNTIF(AE$16:AG$16,"&gt;0")=0,SUMPRODUCT(--(LEN($B$17:$B$28)&gt;0))=0),0,SUMPRODUCT(($B$17:$B$28&lt;&gt;"")*(AE$17:AG$28=TRUE()))/(SUMPRODUCT(--(LEN($B$17:$B$28)&gt;0))*COUNTIF(AE$16:AG$16,"&gt;0")))</f>
        <v>0</v>
      </c>
      <c r="AQ12" s="2" t="s">
        <v>29</v>
      </c>
    </row>
    <row r="13" customFormat="false" ht="15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</row>
    <row r="14" customFormat="false" ht="15" hidden="false" customHeight="false" outlineLevel="0" collapsed="false">
      <c r="A14" s="1"/>
      <c r="B14" s="11" t="s">
        <v>30</v>
      </c>
      <c r="C14" s="12" t="s">
        <v>19</v>
      </c>
      <c r="D14" s="12"/>
      <c r="E14" s="12"/>
      <c r="F14" s="12"/>
      <c r="G14" s="12"/>
      <c r="H14" s="12"/>
      <c r="I14" s="12"/>
      <c r="J14" s="12" t="s">
        <v>21</v>
      </c>
      <c r="K14" s="12"/>
      <c r="L14" s="12"/>
      <c r="M14" s="12"/>
      <c r="N14" s="12"/>
      <c r="O14" s="12"/>
      <c r="P14" s="12"/>
      <c r="Q14" s="12" t="s">
        <v>24</v>
      </c>
      <c r="R14" s="12"/>
      <c r="S14" s="12"/>
      <c r="T14" s="12"/>
      <c r="U14" s="12"/>
      <c r="V14" s="12"/>
      <c r="W14" s="12"/>
      <c r="X14" s="12" t="s">
        <v>26</v>
      </c>
      <c r="Y14" s="12"/>
      <c r="Z14" s="12"/>
      <c r="AA14" s="12"/>
      <c r="AB14" s="12"/>
      <c r="AC14" s="12"/>
      <c r="AD14" s="12"/>
      <c r="AE14" s="12" t="s">
        <v>28</v>
      </c>
      <c r="AF14" s="12"/>
      <c r="AG14" s="12"/>
      <c r="AH14" s="1"/>
      <c r="AI14" s="13" t="s">
        <v>31</v>
      </c>
      <c r="AJ14" s="13"/>
      <c r="AK14" s="13"/>
      <c r="AL14" s="13"/>
      <c r="AM14" s="13"/>
      <c r="AN14" s="1"/>
      <c r="AO14" s="1"/>
    </row>
    <row r="15" customFormat="false" ht="15" hidden="false" customHeight="false" outlineLevel="0" collapsed="false">
      <c r="A15" s="1"/>
      <c r="B15" s="11"/>
      <c r="C15" s="14" t="str">
        <f aca="false">IF(1&gt;$AP$3,"",CHOOSE(WEEKDAY(DATE($B$7,$AP$2,1)),"Su","Mo","Tu","We","Th","Fr","Sa"))</f>
        <v>Sa</v>
      </c>
      <c r="D15" s="14" t="str">
        <f aca="false">IF(2&gt;$AP$3,"",CHOOSE(WEEKDAY(DATE($B$7,$AP$2,2)),"Su","Mo","Tu","We","Th","Fr","Sa"))</f>
        <v>Su</v>
      </c>
      <c r="E15" s="14" t="str">
        <f aca="false">IF(3&gt;$AP$3,"",CHOOSE(WEEKDAY(DATE($B$7,$AP$2,3)),"Su","Mo","Tu","We","Th","Fr","Sa"))</f>
        <v>Mo</v>
      </c>
      <c r="F15" s="14" t="str">
        <f aca="false">IF(4&gt;$AP$3,"",CHOOSE(WEEKDAY(DATE($B$7,$AP$2,4)),"Su","Mo","Tu","We","Th","Fr","Sa"))</f>
        <v>Tu</v>
      </c>
      <c r="G15" s="14" t="str">
        <f aca="false">IF(5&gt;$AP$3,"",CHOOSE(WEEKDAY(DATE($B$7,$AP$2,5)),"Su","Mo","Tu","We","Th","Fr","Sa"))</f>
        <v>We</v>
      </c>
      <c r="H15" s="14" t="str">
        <f aca="false">IF(6&gt;$AP$3,"",CHOOSE(WEEKDAY(DATE($B$7,$AP$2,6)),"Su","Mo","Tu","We","Th","Fr","Sa"))</f>
        <v>Th</v>
      </c>
      <c r="I15" s="14" t="str">
        <f aca="false">IF(7&gt;$AP$3,"",CHOOSE(WEEKDAY(DATE($B$7,$AP$2,7)),"Su","Mo","Tu","We","Th","Fr","Sa"))</f>
        <v>Fr</v>
      </c>
      <c r="J15" s="14" t="str">
        <f aca="false">IF(8&gt;$AP$3,"",CHOOSE(WEEKDAY(DATE($B$7,$AP$2,8)),"Su","Mo","Tu","We","Th","Fr","Sa"))</f>
        <v>Sa</v>
      </c>
      <c r="K15" s="14" t="str">
        <f aca="false">IF(9&gt;$AP$3,"",CHOOSE(WEEKDAY(DATE($B$7,$AP$2,9)),"Su","Mo","Tu","We","Th","Fr","Sa"))</f>
        <v>Su</v>
      </c>
      <c r="L15" s="14" t="str">
        <f aca="false">IF(10&gt;$AP$3,"",CHOOSE(WEEKDAY(DATE($B$7,$AP$2,10)),"Su","Mo","Tu","We","Th","Fr","Sa"))</f>
        <v>Mo</v>
      </c>
      <c r="M15" s="14" t="str">
        <f aca="false">IF(11&gt;$AP$3,"",CHOOSE(WEEKDAY(DATE($B$7,$AP$2,11)),"Su","Mo","Tu","We","Th","Fr","Sa"))</f>
        <v>Tu</v>
      </c>
      <c r="N15" s="14" t="str">
        <f aca="false">IF(12&gt;$AP$3,"",CHOOSE(WEEKDAY(DATE($B$7,$AP$2,12)),"Su","Mo","Tu","We","Th","Fr","Sa"))</f>
        <v>We</v>
      </c>
      <c r="O15" s="14" t="str">
        <f aca="false">IF(13&gt;$AP$3,"",CHOOSE(WEEKDAY(DATE($B$7,$AP$2,13)),"Su","Mo","Tu","We","Th","Fr","Sa"))</f>
        <v>Th</v>
      </c>
      <c r="P15" s="14" t="str">
        <f aca="false">IF(14&gt;$AP$3,"",CHOOSE(WEEKDAY(DATE($B$7,$AP$2,14)),"Su","Mo","Tu","We","Th","Fr","Sa"))</f>
        <v>Fr</v>
      </c>
      <c r="Q15" s="14" t="str">
        <f aca="false">IF(15&gt;$AP$3,"",CHOOSE(WEEKDAY(DATE($B$7,$AP$2,15)),"Su","Mo","Tu","We","Th","Fr","Sa"))</f>
        <v>Sa</v>
      </c>
      <c r="R15" s="14" t="str">
        <f aca="false">IF(16&gt;$AP$3,"",CHOOSE(WEEKDAY(DATE($B$7,$AP$2,16)),"Su","Mo","Tu","We","Th","Fr","Sa"))</f>
        <v>Su</v>
      </c>
      <c r="S15" s="14" t="str">
        <f aca="false">IF(17&gt;$AP$3,"",CHOOSE(WEEKDAY(DATE($B$7,$AP$2,17)),"Su","Mo","Tu","We","Th","Fr","Sa"))</f>
        <v>Mo</v>
      </c>
      <c r="T15" s="14" t="str">
        <f aca="false">IF(18&gt;$AP$3,"",CHOOSE(WEEKDAY(DATE($B$7,$AP$2,18)),"Su","Mo","Tu","We","Th","Fr","Sa"))</f>
        <v>Tu</v>
      </c>
      <c r="U15" s="14" t="str">
        <f aca="false">IF(19&gt;$AP$3,"",CHOOSE(WEEKDAY(DATE($B$7,$AP$2,19)),"Su","Mo","Tu","We","Th","Fr","Sa"))</f>
        <v>We</v>
      </c>
      <c r="V15" s="14" t="str">
        <f aca="false">IF(20&gt;$AP$3,"",CHOOSE(WEEKDAY(DATE($B$7,$AP$2,20)),"Su","Mo","Tu","We","Th","Fr","Sa"))</f>
        <v>Th</v>
      </c>
      <c r="W15" s="14" t="str">
        <f aca="false">IF(21&gt;$AP$3,"",CHOOSE(WEEKDAY(DATE($B$7,$AP$2,21)),"Su","Mo","Tu","We","Th","Fr","Sa"))</f>
        <v>Fr</v>
      </c>
      <c r="X15" s="14" t="str">
        <f aca="false">IF(22&gt;$AP$3,"",CHOOSE(WEEKDAY(DATE($B$7,$AP$2,22)),"Su","Mo","Tu","We","Th","Fr","Sa"))</f>
        <v>Sa</v>
      </c>
      <c r="Y15" s="14" t="str">
        <f aca="false">IF(23&gt;$AP$3,"",CHOOSE(WEEKDAY(DATE($B$7,$AP$2,23)),"Su","Mo","Tu","We","Th","Fr","Sa"))</f>
        <v>Su</v>
      </c>
      <c r="Z15" s="14" t="str">
        <f aca="false">IF(24&gt;$AP$3,"",CHOOSE(WEEKDAY(DATE($B$7,$AP$2,24)),"Su","Mo","Tu","We","Th","Fr","Sa"))</f>
        <v>Mo</v>
      </c>
      <c r="AA15" s="14" t="str">
        <f aca="false">IF(25&gt;$AP$3,"",CHOOSE(WEEKDAY(DATE($B$7,$AP$2,25)),"Su","Mo","Tu","We","Th","Fr","Sa"))</f>
        <v>Tu</v>
      </c>
      <c r="AB15" s="14" t="str">
        <f aca="false">IF(26&gt;$AP$3,"",CHOOSE(WEEKDAY(DATE($B$7,$AP$2,26)),"Su","Mo","Tu","We","Th","Fr","Sa"))</f>
        <v>We</v>
      </c>
      <c r="AC15" s="14" t="str">
        <f aca="false">IF(27&gt;$AP$3,"",CHOOSE(WEEKDAY(DATE($B$7,$AP$2,27)),"Su","Mo","Tu","We","Th","Fr","Sa"))</f>
        <v>Th</v>
      </c>
      <c r="AD15" s="14" t="str">
        <f aca="false">IF(28&gt;$AP$3,"",CHOOSE(WEEKDAY(DATE($B$7,$AP$2,28)),"Su","Mo","Tu","We","Th","Fr","Sa"))</f>
        <v>Fr</v>
      </c>
      <c r="AE15" s="14" t="str">
        <f aca="false">IF(29&gt;$AP$3,"",CHOOSE(WEEKDAY(DATE($B$7,$AP$2,29)),"Su","Mo","Tu","We","Th","Fr","Sa"))</f>
        <v>Sa</v>
      </c>
      <c r="AF15" s="14" t="str">
        <f aca="false">IF(30&gt;$AP$3,"",CHOOSE(WEEKDAY(DATE($B$7,$AP$2,30)),"Su","Mo","Tu","We","Th","Fr","Sa"))</f>
        <v>Su</v>
      </c>
      <c r="AG15" s="14" t="str">
        <f aca="false">IF(31&gt;$AP$3,"",CHOOSE(WEEKDAY(DATE($B$7,$AP$2,31)),"Su","Mo","Tu","We","Th","Fr","Sa"))</f>
        <v>Mo</v>
      </c>
      <c r="AH15" s="1"/>
      <c r="AI15" s="13"/>
      <c r="AJ15" s="13"/>
      <c r="AK15" s="13"/>
      <c r="AL15" s="13"/>
      <c r="AM15" s="13"/>
      <c r="AN15" s="1"/>
      <c r="AO15" s="1"/>
    </row>
    <row r="16" customFormat="false" ht="15" hidden="false" customHeight="false" outlineLevel="0" collapsed="false">
      <c r="A16" s="1"/>
      <c r="B16" s="11"/>
      <c r="C16" s="14" t="n">
        <f aca="false">IF(1&gt;$AP$3,"",1)</f>
        <v>1</v>
      </c>
      <c r="D16" s="14" t="n">
        <f aca="false">IF(2&gt;$AP$3,"",2)</f>
        <v>2</v>
      </c>
      <c r="E16" s="14" t="n">
        <f aca="false">IF(3&gt;$AP$3,"",3)</f>
        <v>3</v>
      </c>
      <c r="F16" s="14" t="n">
        <f aca="false">IF(4&gt;$AP$3,"",4)</f>
        <v>4</v>
      </c>
      <c r="G16" s="14" t="n">
        <f aca="false">IF(5&gt;$AP$3,"",5)</f>
        <v>5</v>
      </c>
      <c r="H16" s="14" t="n">
        <f aca="false">IF(6&gt;$AP$3,"",6)</f>
        <v>6</v>
      </c>
      <c r="I16" s="14" t="n">
        <f aca="false">IF(7&gt;$AP$3,"",7)</f>
        <v>7</v>
      </c>
      <c r="J16" s="14" t="n">
        <f aca="false">IF(8&gt;$AP$3,"",8)</f>
        <v>8</v>
      </c>
      <c r="K16" s="14" t="n">
        <f aca="false">IF(9&gt;$AP$3,"",9)</f>
        <v>9</v>
      </c>
      <c r="L16" s="14" t="n">
        <f aca="false">IF(10&gt;$AP$3,"",10)</f>
        <v>10</v>
      </c>
      <c r="M16" s="14" t="n">
        <f aca="false">IF(11&gt;$AP$3,"",11)</f>
        <v>11</v>
      </c>
      <c r="N16" s="14" t="n">
        <f aca="false">IF(12&gt;$AP$3,"",12)</f>
        <v>12</v>
      </c>
      <c r="O16" s="14" t="n">
        <f aca="false">IF(13&gt;$AP$3,"",13)</f>
        <v>13</v>
      </c>
      <c r="P16" s="14" t="n">
        <f aca="false">IF(14&gt;$AP$3,"",14)</f>
        <v>14</v>
      </c>
      <c r="Q16" s="14" t="n">
        <f aca="false">IF(15&gt;$AP$3,"",15)</f>
        <v>15</v>
      </c>
      <c r="R16" s="14" t="n">
        <f aca="false">IF(16&gt;$AP$3,"",16)</f>
        <v>16</v>
      </c>
      <c r="S16" s="14" t="n">
        <f aca="false">IF(17&gt;$AP$3,"",17)</f>
        <v>17</v>
      </c>
      <c r="T16" s="14" t="n">
        <f aca="false">IF(18&gt;$AP$3,"",18)</f>
        <v>18</v>
      </c>
      <c r="U16" s="14" t="n">
        <f aca="false">IF(19&gt;$AP$3,"",19)</f>
        <v>19</v>
      </c>
      <c r="V16" s="14" t="n">
        <f aca="false">IF(20&gt;$AP$3,"",20)</f>
        <v>20</v>
      </c>
      <c r="W16" s="14" t="n">
        <f aca="false">IF(21&gt;$AP$3,"",21)</f>
        <v>21</v>
      </c>
      <c r="X16" s="14" t="n">
        <f aca="false">IF(22&gt;$AP$3,"",22)</f>
        <v>22</v>
      </c>
      <c r="Y16" s="14" t="n">
        <f aca="false">IF(23&gt;$AP$3,"",23)</f>
        <v>23</v>
      </c>
      <c r="Z16" s="14" t="n">
        <f aca="false">IF(24&gt;$AP$3,"",24)</f>
        <v>24</v>
      </c>
      <c r="AA16" s="14" t="n">
        <f aca="false">IF(25&gt;$AP$3,"",25)</f>
        <v>25</v>
      </c>
      <c r="AB16" s="14" t="n">
        <f aca="false">IF(26&gt;$AP$3,"",26)</f>
        <v>26</v>
      </c>
      <c r="AC16" s="14" t="n">
        <f aca="false">IF(27&gt;$AP$3,"",27)</f>
        <v>27</v>
      </c>
      <c r="AD16" s="14" t="n">
        <f aca="false">IF(28&gt;$AP$3,"",28)</f>
        <v>28</v>
      </c>
      <c r="AE16" s="14" t="n">
        <f aca="false">IF(29&gt;$AP$3,"",29)</f>
        <v>29</v>
      </c>
      <c r="AF16" s="14" t="n">
        <f aca="false">IF(30&gt;$AP$3,"",30)</f>
        <v>30</v>
      </c>
      <c r="AG16" s="14" t="n">
        <f aca="false">IF(31&gt;$AP$3,"",31)</f>
        <v>31</v>
      </c>
      <c r="AH16" s="1"/>
      <c r="AI16" s="15" t="s">
        <v>4</v>
      </c>
      <c r="AJ16" s="15" t="s">
        <v>32</v>
      </c>
      <c r="AK16" s="15" t="s">
        <v>15</v>
      </c>
      <c r="AL16" s="15" t="s">
        <v>33</v>
      </c>
      <c r="AM16" s="15" t="s">
        <v>34</v>
      </c>
      <c r="AN16" s="1"/>
      <c r="AO16" s="1"/>
    </row>
    <row r="17" customFormat="false" ht="18" hidden="false" customHeight="true" outlineLevel="0" collapsed="false">
      <c r="A17" s="1"/>
      <c r="B17" s="16" t="s">
        <v>35</v>
      </c>
      <c r="C17" s="17" t="b">
        <f aca="false">FALSE()</f>
        <v>0</v>
      </c>
      <c r="D17" s="17" t="b">
        <f aca="false">FALSE()</f>
        <v>0</v>
      </c>
      <c r="E17" s="17" t="b">
        <f aca="false">FALSE()</f>
        <v>0</v>
      </c>
      <c r="F17" s="17" t="b">
        <f aca="false">FALSE()</f>
        <v>0</v>
      </c>
      <c r="G17" s="17" t="b">
        <f aca="false">FALSE()</f>
        <v>0</v>
      </c>
      <c r="H17" s="17" t="b">
        <f aca="false">FALSE()</f>
        <v>0</v>
      </c>
      <c r="I17" s="17" t="b">
        <f aca="false">FALSE()</f>
        <v>0</v>
      </c>
      <c r="J17" s="17" t="b">
        <f aca="false">FALSE()</f>
        <v>0</v>
      </c>
      <c r="K17" s="17" t="b">
        <f aca="false">FALSE()</f>
        <v>0</v>
      </c>
      <c r="L17" s="17" t="b">
        <f aca="false">FALSE()</f>
        <v>0</v>
      </c>
      <c r="M17" s="17" t="b">
        <f aca="false">FALSE()</f>
        <v>0</v>
      </c>
      <c r="N17" s="17" t="b">
        <f aca="false">FALSE()</f>
        <v>0</v>
      </c>
      <c r="O17" s="17" t="b">
        <f aca="false">FALSE()</f>
        <v>0</v>
      </c>
      <c r="P17" s="17" t="b">
        <f aca="false">FALSE()</f>
        <v>0</v>
      </c>
      <c r="Q17" s="17" t="b">
        <f aca="false">FALSE()</f>
        <v>0</v>
      </c>
      <c r="R17" s="17" t="b">
        <f aca="false">FALSE()</f>
        <v>0</v>
      </c>
      <c r="S17" s="17" t="b">
        <f aca="false">FALSE()</f>
        <v>0</v>
      </c>
      <c r="T17" s="17" t="b">
        <f aca="false">FALSE()</f>
        <v>0</v>
      </c>
      <c r="U17" s="17" t="b">
        <f aca="false">FALSE()</f>
        <v>0</v>
      </c>
      <c r="V17" s="17" t="b">
        <f aca="false">FALSE()</f>
        <v>0</v>
      </c>
      <c r="W17" s="17" t="b">
        <f aca="false">FALSE()</f>
        <v>0</v>
      </c>
      <c r="X17" s="17" t="b">
        <f aca="false">FALSE()</f>
        <v>0</v>
      </c>
      <c r="Y17" s="17" t="b">
        <f aca="false">FALSE()</f>
        <v>0</v>
      </c>
      <c r="Z17" s="17" t="b">
        <f aca="false">FALSE()</f>
        <v>0</v>
      </c>
      <c r="AA17" s="17" t="b">
        <f aca="false">FALSE()</f>
        <v>0</v>
      </c>
      <c r="AB17" s="17" t="b">
        <f aca="false">FALSE()</f>
        <v>0</v>
      </c>
      <c r="AC17" s="17" t="b">
        <f aca="false">FALSE()</f>
        <v>0</v>
      </c>
      <c r="AD17" s="17" t="b">
        <f aca="false">FALSE()</f>
        <v>0</v>
      </c>
      <c r="AE17" s="17" t="b">
        <f aca="false">FALSE()</f>
        <v>0</v>
      </c>
      <c r="AF17" s="17" t="b">
        <f aca="false">FALSE()</f>
        <v>0</v>
      </c>
      <c r="AG17" s="17" t="b">
        <f aca="false">FALSE()</f>
        <v>0</v>
      </c>
      <c r="AH17" s="1"/>
      <c r="AI17" s="18" t="n">
        <f aca="false">IF($B17="","",$AP$3)</f>
        <v>31</v>
      </c>
      <c r="AJ17" s="18" t="n">
        <f aca="false">IF($B17="","",COUNTIF(C17:AG17,TRUE()))</f>
        <v>0</v>
      </c>
      <c r="AK17" s="18" t="n">
        <f aca="false">IF($B17="","",AI17-AJ17)</f>
        <v>31</v>
      </c>
      <c r="AL17" s="19" t="n">
        <f aca="false">IF($B17="","",AJ17/AI17)</f>
        <v>0</v>
      </c>
      <c r="AM17" s="20" t="n">
        <f aca="false">IF($B17="","",AJ17/AI17)</f>
        <v>0</v>
      </c>
      <c r="AN17" s="21" t="n">
        <f aca="false">IF($B17="",-1,AM17-ROW()/100000)</f>
        <v>-0.00017</v>
      </c>
      <c r="AO17" s="1"/>
    </row>
    <row r="18" customFormat="false" ht="18" hidden="false" customHeight="true" outlineLevel="0" collapsed="false">
      <c r="A18" s="1"/>
      <c r="B18" s="16" t="s">
        <v>36</v>
      </c>
      <c r="C18" s="17" t="b">
        <f aca="false">FALSE()</f>
        <v>0</v>
      </c>
      <c r="D18" s="17" t="b">
        <f aca="false">FALSE()</f>
        <v>0</v>
      </c>
      <c r="E18" s="17" t="b">
        <f aca="false">FALSE()</f>
        <v>0</v>
      </c>
      <c r="F18" s="17" t="b">
        <f aca="false">FALSE()</f>
        <v>0</v>
      </c>
      <c r="G18" s="17" t="b">
        <f aca="false">FALSE()</f>
        <v>0</v>
      </c>
      <c r="H18" s="17" t="b">
        <f aca="false">FALSE()</f>
        <v>0</v>
      </c>
      <c r="I18" s="17" t="b">
        <f aca="false">FALSE()</f>
        <v>0</v>
      </c>
      <c r="J18" s="17" t="b">
        <f aca="false">FALSE()</f>
        <v>0</v>
      </c>
      <c r="K18" s="17" t="b">
        <f aca="false">FALSE()</f>
        <v>0</v>
      </c>
      <c r="L18" s="17" t="b">
        <f aca="false">FALSE()</f>
        <v>0</v>
      </c>
      <c r="M18" s="17" t="b">
        <f aca="false">FALSE()</f>
        <v>0</v>
      </c>
      <c r="N18" s="17" t="b">
        <f aca="false">FALSE()</f>
        <v>0</v>
      </c>
      <c r="O18" s="17" t="b">
        <f aca="false">FALSE()</f>
        <v>0</v>
      </c>
      <c r="P18" s="17" t="b">
        <f aca="false">FALSE()</f>
        <v>0</v>
      </c>
      <c r="Q18" s="17" t="b">
        <f aca="false">FALSE()</f>
        <v>0</v>
      </c>
      <c r="R18" s="17" t="b">
        <f aca="false">FALSE()</f>
        <v>0</v>
      </c>
      <c r="S18" s="17" t="b">
        <f aca="false">FALSE()</f>
        <v>0</v>
      </c>
      <c r="T18" s="17" t="b">
        <f aca="false">FALSE()</f>
        <v>0</v>
      </c>
      <c r="U18" s="17" t="b">
        <f aca="false">FALSE()</f>
        <v>0</v>
      </c>
      <c r="V18" s="17" t="b">
        <f aca="false">FALSE()</f>
        <v>0</v>
      </c>
      <c r="W18" s="17" t="b">
        <f aca="false">FALSE()</f>
        <v>0</v>
      </c>
      <c r="X18" s="17" t="b">
        <f aca="false">FALSE()</f>
        <v>0</v>
      </c>
      <c r="Y18" s="17" t="b">
        <f aca="false">FALSE()</f>
        <v>0</v>
      </c>
      <c r="Z18" s="17" t="b">
        <f aca="false">FALSE()</f>
        <v>0</v>
      </c>
      <c r="AA18" s="17" t="b">
        <f aca="false">FALSE()</f>
        <v>0</v>
      </c>
      <c r="AB18" s="17" t="b">
        <f aca="false">FALSE()</f>
        <v>0</v>
      </c>
      <c r="AC18" s="17" t="b">
        <f aca="false">FALSE()</f>
        <v>0</v>
      </c>
      <c r="AD18" s="17" t="b">
        <f aca="false">FALSE()</f>
        <v>0</v>
      </c>
      <c r="AE18" s="17" t="b">
        <f aca="false">FALSE()</f>
        <v>0</v>
      </c>
      <c r="AF18" s="17" t="b">
        <f aca="false">FALSE()</f>
        <v>0</v>
      </c>
      <c r="AG18" s="17" t="b">
        <f aca="false">FALSE()</f>
        <v>0</v>
      </c>
      <c r="AH18" s="1"/>
      <c r="AI18" s="18" t="n">
        <f aca="false">IF($B18="","",$AP$3)</f>
        <v>31</v>
      </c>
      <c r="AJ18" s="18" t="n">
        <f aca="false">IF($B18="","",COUNTIF(C18:AG18,TRUE()))</f>
        <v>0</v>
      </c>
      <c r="AK18" s="18" t="n">
        <f aca="false">IF($B18="","",AI18-AJ18)</f>
        <v>31</v>
      </c>
      <c r="AL18" s="19" t="n">
        <f aca="false">IF($B18="","",AJ18/AI18)</f>
        <v>0</v>
      </c>
      <c r="AM18" s="20" t="n">
        <f aca="false">IF($B18="","",AJ18/AI18)</f>
        <v>0</v>
      </c>
      <c r="AN18" s="21" t="n">
        <f aca="false">IF($B18="",-1,AM18-ROW()/100000)</f>
        <v>-0.00018</v>
      </c>
      <c r="AO18" s="1"/>
    </row>
    <row r="19" customFormat="false" ht="18" hidden="false" customHeight="true" outlineLevel="0" collapsed="false">
      <c r="A19" s="1"/>
      <c r="B19" s="16" t="s">
        <v>37</v>
      </c>
      <c r="C19" s="17" t="b">
        <f aca="false">FALSE()</f>
        <v>0</v>
      </c>
      <c r="D19" s="17" t="b">
        <f aca="false">FALSE()</f>
        <v>0</v>
      </c>
      <c r="E19" s="17" t="b">
        <f aca="false">FALSE()</f>
        <v>0</v>
      </c>
      <c r="F19" s="17" t="b">
        <f aca="false">FALSE()</f>
        <v>0</v>
      </c>
      <c r="G19" s="17" t="b">
        <f aca="false">FALSE()</f>
        <v>0</v>
      </c>
      <c r="H19" s="17" t="b">
        <f aca="false">FALSE()</f>
        <v>0</v>
      </c>
      <c r="I19" s="17" t="b">
        <f aca="false">FALSE()</f>
        <v>0</v>
      </c>
      <c r="J19" s="17" t="b">
        <f aca="false">FALSE()</f>
        <v>0</v>
      </c>
      <c r="K19" s="17" t="b">
        <f aca="false">FALSE()</f>
        <v>0</v>
      </c>
      <c r="L19" s="17" t="b">
        <f aca="false">FALSE()</f>
        <v>0</v>
      </c>
      <c r="M19" s="17" t="b">
        <f aca="false">FALSE()</f>
        <v>0</v>
      </c>
      <c r="N19" s="17" t="b">
        <f aca="false">FALSE()</f>
        <v>0</v>
      </c>
      <c r="O19" s="17" t="b">
        <f aca="false">FALSE()</f>
        <v>0</v>
      </c>
      <c r="P19" s="17" t="b">
        <f aca="false">FALSE()</f>
        <v>0</v>
      </c>
      <c r="Q19" s="17" t="b">
        <f aca="false">FALSE()</f>
        <v>0</v>
      </c>
      <c r="R19" s="17" t="b">
        <f aca="false">FALSE()</f>
        <v>0</v>
      </c>
      <c r="S19" s="17" t="b">
        <f aca="false">FALSE()</f>
        <v>0</v>
      </c>
      <c r="T19" s="17" t="b">
        <f aca="false">FALSE()</f>
        <v>0</v>
      </c>
      <c r="U19" s="17" t="b">
        <f aca="false">FALSE()</f>
        <v>0</v>
      </c>
      <c r="V19" s="17" t="b">
        <f aca="false">FALSE()</f>
        <v>0</v>
      </c>
      <c r="W19" s="17" t="b">
        <f aca="false">FALSE()</f>
        <v>0</v>
      </c>
      <c r="X19" s="17" t="b">
        <f aca="false">FALSE()</f>
        <v>0</v>
      </c>
      <c r="Y19" s="17" t="b">
        <f aca="false">FALSE()</f>
        <v>0</v>
      </c>
      <c r="Z19" s="17" t="b">
        <f aca="false">FALSE()</f>
        <v>0</v>
      </c>
      <c r="AA19" s="17" t="b">
        <f aca="false">FALSE()</f>
        <v>0</v>
      </c>
      <c r="AB19" s="17" t="b">
        <f aca="false">FALSE()</f>
        <v>0</v>
      </c>
      <c r="AC19" s="17" t="b">
        <f aca="false">FALSE()</f>
        <v>0</v>
      </c>
      <c r="AD19" s="17" t="b">
        <f aca="false">FALSE()</f>
        <v>0</v>
      </c>
      <c r="AE19" s="17" t="b">
        <f aca="false">FALSE()</f>
        <v>0</v>
      </c>
      <c r="AF19" s="17" t="b">
        <f aca="false">FALSE()</f>
        <v>0</v>
      </c>
      <c r="AG19" s="17" t="b">
        <f aca="false">FALSE()</f>
        <v>0</v>
      </c>
      <c r="AH19" s="1"/>
      <c r="AI19" s="18" t="n">
        <f aca="false">IF($B19="","",$AP$3)</f>
        <v>31</v>
      </c>
      <c r="AJ19" s="18" t="n">
        <f aca="false">IF($B19="","",COUNTIF(C19:AG19,TRUE()))</f>
        <v>0</v>
      </c>
      <c r="AK19" s="18" t="n">
        <f aca="false">IF($B19="","",AI19-AJ19)</f>
        <v>31</v>
      </c>
      <c r="AL19" s="19" t="n">
        <f aca="false">IF($B19="","",AJ19/AI19)</f>
        <v>0</v>
      </c>
      <c r="AM19" s="20" t="n">
        <f aca="false">IF($B19="","",AJ19/AI19)</f>
        <v>0</v>
      </c>
      <c r="AN19" s="21" t="n">
        <f aca="false">IF($B19="",-1,AM19-ROW()/100000)</f>
        <v>-0.00019</v>
      </c>
      <c r="AO19" s="1"/>
    </row>
    <row r="20" customFormat="false" ht="18" hidden="false" customHeight="true" outlineLevel="0" collapsed="false">
      <c r="A20" s="1"/>
      <c r="B20" s="16" t="s">
        <v>38</v>
      </c>
      <c r="C20" s="17" t="b">
        <f aca="false">FALSE()</f>
        <v>0</v>
      </c>
      <c r="D20" s="17" t="b">
        <f aca="false">FALSE()</f>
        <v>0</v>
      </c>
      <c r="E20" s="17" t="b">
        <f aca="false">FALSE()</f>
        <v>0</v>
      </c>
      <c r="F20" s="17" t="b">
        <f aca="false">FALSE()</f>
        <v>0</v>
      </c>
      <c r="G20" s="17" t="b">
        <f aca="false">FALSE()</f>
        <v>0</v>
      </c>
      <c r="H20" s="17" t="b">
        <f aca="false">FALSE()</f>
        <v>0</v>
      </c>
      <c r="I20" s="17" t="b">
        <f aca="false">FALSE()</f>
        <v>0</v>
      </c>
      <c r="J20" s="17" t="b">
        <f aca="false">FALSE()</f>
        <v>0</v>
      </c>
      <c r="K20" s="17" t="b">
        <f aca="false">FALSE()</f>
        <v>0</v>
      </c>
      <c r="L20" s="17" t="b">
        <f aca="false">FALSE()</f>
        <v>0</v>
      </c>
      <c r="M20" s="17" t="b">
        <f aca="false">FALSE()</f>
        <v>0</v>
      </c>
      <c r="N20" s="17" t="b">
        <f aca="false">FALSE()</f>
        <v>0</v>
      </c>
      <c r="O20" s="17" t="b">
        <f aca="false">FALSE()</f>
        <v>0</v>
      </c>
      <c r="P20" s="17" t="b">
        <f aca="false">FALSE()</f>
        <v>0</v>
      </c>
      <c r="Q20" s="17" t="b">
        <f aca="false">FALSE()</f>
        <v>0</v>
      </c>
      <c r="R20" s="17" t="b">
        <f aca="false">FALSE()</f>
        <v>0</v>
      </c>
      <c r="S20" s="17" t="b">
        <f aca="false">FALSE()</f>
        <v>0</v>
      </c>
      <c r="T20" s="17" t="b">
        <f aca="false">FALSE()</f>
        <v>0</v>
      </c>
      <c r="U20" s="17" t="b">
        <f aca="false">FALSE()</f>
        <v>0</v>
      </c>
      <c r="V20" s="17" t="b">
        <f aca="false">FALSE()</f>
        <v>0</v>
      </c>
      <c r="W20" s="17" t="b">
        <f aca="false">FALSE()</f>
        <v>0</v>
      </c>
      <c r="X20" s="17" t="b">
        <f aca="false">FALSE()</f>
        <v>0</v>
      </c>
      <c r="Y20" s="17" t="b">
        <f aca="false">FALSE()</f>
        <v>0</v>
      </c>
      <c r="Z20" s="17" t="b">
        <f aca="false">FALSE()</f>
        <v>0</v>
      </c>
      <c r="AA20" s="17" t="b">
        <f aca="false">FALSE()</f>
        <v>0</v>
      </c>
      <c r="AB20" s="17" t="b">
        <f aca="false">FALSE()</f>
        <v>0</v>
      </c>
      <c r="AC20" s="17" t="b">
        <f aca="false">FALSE()</f>
        <v>0</v>
      </c>
      <c r="AD20" s="17" t="b">
        <f aca="false">FALSE()</f>
        <v>0</v>
      </c>
      <c r="AE20" s="17" t="b">
        <f aca="false">FALSE()</f>
        <v>0</v>
      </c>
      <c r="AF20" s="17" t="b">
        <f aca="false">FALSE()</f>
        <v>0</v>
      </c>
      <c r="AG20" s="17" t="b">
        <f aca="false">FALSE()</f>
        <v>0</v>
      </c>
      <c r="AH20" s="1"/>
      <c r="AI20" s="18" t="n">
        <f aca="false">IF($B20="","",$AP$3)</f>
        <v>31</v>
      </c>
      <c r="AJ20" s="18" t="n">
        <f aca="false">IF($B20="","",COUNTIF(C20:AG20,TRUE()))</f>
        <v>0</v>
      </c>
      <c r="AK20" s="18" t="n">
        <f aca="false">IF($B20="","",AI20-AJ20)</f>
        <v>31</v>
      </c>
      <c r="AL20" s="19" t="n">
        <f aca="false">IF($B20="","",AJ20/AI20)</f>
        <v>0</v>
      </c>
      <c r="AM20" s="20" t="n">
        <f aca="false">IF($B20="","",AJ20/AI20)</f>
        <v>0</v>
      </c>
      <c r="AN20" s="21" t="n">
        <f aca="false">IF($B20="",-1,AM20-ROW()/100000)</f>
        <v>-0.0002</v>
      </c>
      <c r="AO20" s="1"/>
    </row>
    <row r="21" customFormat="false" ht="18" hidden="false" customHeight="true" outlineLevel="0" collapsed="false">
      <c r="A21" s="1"/>
      <c r="B21" s="16" t="s">
        <v>39</v>
      </c>
      <c r="C21" s="17" t="b">
        <f aca="false">FALSE()</f>
        <v>0</v>
      </c>
      <c r="D21" s="17" t="b">
        <f aca="false">FALSE()</f>
        <v>0</v>
      </c>
      <c r="E21" s="17" t="b">
        <f aca="false">FALSE()</f>
        <v>0</v>
      </c>
      <c r="F21" s="17" t="b">
        <f aca="false">FALSE()</f>
        <v>0</v>
      </c>
      <c r="G21" s="17" t="b">
        <f aca="false">FALSE()</f>
        <v>0</v>
      </c>
      <c r="H21" s="17" t="b">
        <f aca="false">FALSE()</f>
        <v>0</v>
      </c>
      <c r="I21" s="17" t="b">
        <f aca="false">FALSE()</f>
        <v>0</v>
      </c>
      <c r="J21" s="17" t="b">
        <f aca="false">FALSE()</f>
        <v>0</v>
      </c>
      <c r="K21" s="17" t="b">
        <f aca="false">FALSE()</f>
        <v>0</v>
      </c>
      <c r="L21" s="17" t="b">
        <f aca="false">FALSE()</f>
        <v>0</v>
      </c>
      <c r="M21" s="17" t="b">
        <f aca="false">FALSE()</f>
        <v>0</v>
      </c>
      <c r="N21" s="17" t="b">
        <f aca="false">FALSE()</f>
        <v>0</v>
      </c>
      <c r="O21" s="17" t="b">
        <f aca="false">FALSE()</f>
        <v>0</v>
      </c>
      <c r="P21" s="17" t="b">
        <f aca="false">FALSE()</f>
        <v>0</v>
      </c>
      <c r="Q21" s="17" t="b">
        <f aca="false">FALSE()</f>
        <v>0</v>
      </c>
      <c r="R21" s="17" t="b">
        <f aca="false">FALSE()</f>
        <v>0</v>
      </c>
      <c r="S21" s="17" t="b">
        <f aca="false">FALSE()</f>
        <v>0</v>
      </c>
      <c r="T21" s="17" t="b">
        <f aca="false">FALSE()</f>
        <v>0</v>
      </c>
      <c r="U21" s="17" t="b">
        <f aca="false">FALSE()</f>
        <v>0</v>
      </c>
      <c r="V21" s="17" t="b">
        <f aca="false">FALSE()</f>
        <v>0</v>
      </c>
      <c r="W21" s="17" t="b">
        <f aca="false">FALSE()</f>
        <v>0</v>
      </c>
      <c r="X21" s="17" t="b">
        <f aca="false">FALSE()</f>
        <v>0</v>
      </c>
      <c r="Y21" s="17" t="b">
        <f aca="false">FALSE()</f>
        <v>0</v>
      </c>
      <c r="Z21" s="17" t="b">
        <f aca="false">FALSE()</f>
        <v>0</v>
      </c>
      <c r="AA21" s="17" t="b">
        <f aca="false">FALSE()</f>
        <v>0</v>
      </c>
      <c r="AB21" s="17" t="b">
        <f aca="false">FALSE()</f>
        <v>0</v>
      </c>
      <c r="AC21" s="17" t="b">
        <f aca="false">FALSE()</f>
        <v>0</v>
      </c>
      <c r="AD21" s="17" t="b">
        <f aca="false">FALSE()</f>
        <v>0</v>
      </c>
      <c r="AE21" s="17" t="b">
        <f aca="false">FALSE()</f>
        <v>0</v>
      </c>
      <c r="AF21" s="17" t="b">
        <f aca="false">FALSE()</f>
        <v>0</v>
      </c>
      <c r="AG21" s="17" t="b">
        <f aca="false">FALSE()</f>
        <v>0</v>
      </c>
      <c r="AH21" s="1"/>
      <c r="AI21" s="18" t="n">
        <f aca="false">IF($B21="","",$AP$3)</f>
        <v>31</v>
      </c>
      <c r="AJ21" s="18" t="n">
        <f aca="false">IF($B21="","",COUNTIF(C21:AG21,TRUE()))</f>
        <v>0</v>
      </c>
      <c r="AK21" s="18" t="n">
        <f aca="false">IF($B21="","",AI21-AJ21)</f>
        <v>31</v>
      </c>
      <c r="AL21" s="19" t="n">
        <f aca="false">IF($B21="","",AJ21/AI21)</f>
        <v>0</v>
      </c>
      <c r="AM21" s="20" t="n">
        <f aca="false">IF($B21="","",AJ21/AI21)</f>
        <v>0</v>
      </c>
      <c r="AN21" s="21" t="n">
        <f aca="false">IF($B21="",-1,AM21-ROW()/100000)</f>
        <v>-0.00021</v>
      </c>
      <c r="AO21" s="1"/>
    </row>
    <row r="22" customFormat="false" ht="18" hidden="false" customHeight="true" outlineLevel="0" collapsed="false">
      <c r="A22" s="1"/>
      <c r="B22" s="16" t="s">
        <v>40</v>
      </c>
      <c r="C22" s="17" t="b">
        <f aca="false">FALSE()</f>
        <v>0</v>
      </c>
      <c r="D22" s="17" t="b">
        <f aca="false">FALSE()</f>
        <v>0</v>
      </c>
      <c r="E22" s="17" t="b">
        <f aca="false">FALSE()</f>
        <v>0</v>
      </c>
      <c r="F22" s="17" t="b">
        <f aca="false">FALSE()</f>
        <v>0</v>
      </c>
      <c r="G22" s="17" t="b">
        <f aca="false">FALSE()</f>
        <v>0</v>
      </c>
      <c r="H22" s="17" t="b">
        <f aca="false">FALSE()</f>
        <v>0</v>
      </c>
      <c r="I22" s="17" t="b">
        <f aca="false">FALSE()</f>
        <v>0</v>
      </c>
      <c r="J22" s="17" t="b">
        <f aca="false">FALSE()</f>
        <v>0</v>
      </c>
      <c r="K22" s="17" t="b">
        <f aca="false">FALSE()</f>
        <v>0</v>
      </c>
      <c r="L22" s="17" t="b">
        <f aca="false">FALSE()</f>
        <v>0</v>
      </c>
      <c r="M22" s="17" t="b">
        <f aca="false">FALSE()</f>
        <v>0</v>
      </c>
      <c r="N22" s="17" t="b">
        <f aca="false">FALSE()</f>
        <v>0</v>
      </c>
      <c r="O22" s="17" t="b">
        <f aca="false">FALSE()</f>
        <v>0</v>
      </c>
      <c r="P22" s="17" t="b">
        <f aca="false">FALSE()</f>
        <v>0</v>
      </c>
      <c r="Q22" s="17" t="b">
        <f aca="false">FALSE()</f>
        <v>0</v>
      </c>
      <c r="R22" s="17" t="b">
        <f aca="false">FALSE()</f>
        <v>0</v>
      </c>
      <c r="S22" s="17" t="b">
        <f aca="false">FALSE()</f>
        <v>0</v>
      </c>
      <c r="T22" s="17" t="b">
        <f aca="false">FALSE()</f>
        <v>0</v>
      </c>
      <c r="U22" s="17" t="b">
        <f aca="false">FALSE()</f>
        <v>0</v>
      </c>
      <c r="V22" s="17" t="b">
        <f aca="false">FALSE()</f>
        <v>0</v>
      </c>
      <c r="W22" s="17" t="b">
        <f aca="false">FALSE()</f>
        <v>0</v>
      </c>
      <c r="X22" s="17" t="b">
        <f aca="false">FALSE()</f>
        <v>0</v>
      </c>
      <c r="Y22" s="17" t="b">
        <f aca="false">FALSE()</f>
        <v>0</v>
      </c>
      <c r="Z22" s="17" t="b">
        <f aca="false">FALSE()</f>
        <v>0</v>
      </c>
      <c r="AA22" s="17" t="b">
        <f aca="false">FALSE()</f>
        <v>0</v>
      </c>
      <c r="AB22" s="17" t="b">
        <f aca="false">FALSE()</f>
        <v>0</v>
      </c>
      <c r="AC22" s="17" t="b">
        <f aca="false">FALSE()</f>
        <v>0</v>
      </c>
      <c r="AD22" s="17" t="b">
        <f aca="false">FALSE()</f>
        <v>0</v>
      </c>
      <c r="AE22" s="17" t="b">
        <f aca="false">FALSE()</f>
        <v>0</v>
      </c>
      <c r="AF22" s="17" t="b">
        <f aca="false">FALSE()</f>
        <v>0</v>
      </c>
      <c r="AG22" s="17" t="b">
        <f aca="false">FALSE()</f>
        <v>0</v>
      </c>
      <c r="AH22" s="1"/>
      <c r="AI22" s="18" t="n">
        <f aca="false">IF($B22="","",$AP$3)</f>
        <v>31</v>
      </c>
      <c r="AJ22" s="18" t="n">
        <f aca="false">IF($B22="","",COUNTIF(C22:AG22,TRUE()))</f>
        <v>0</v>
      </c>
      <c r="AK22" s="18" t="n">
        <f aca="false">IF($B22="","",AI22-AJ22)</f>
        <v>31</v>
      </c>
      <c r="AL22" s="19" t="n">
        <f aca="false">IF($B22="","",AJ22/AI22)</f>
        <v>0</v>
      </c>
      <c r="AM22" s="20" t="n">
        <f aca="false">IF($B22="","",AJ22/AI22)</f>
        <v>0</v>
      </c>
      <c r="AN22" s="21" t="n">
        <f aca="false">IF($B22="",-1,AM22-ROW()/100000)</f>
        <v>-0.00022</v>
      </c>
      <c r="AO22" s="1"/>
    </row>
    <row r="23" customFormat="false" ht="18" hidden="false" customHeight="true" outlineLevel="0" collapsed="false">
      <c r="A23" s="1"/>
      <c r="B23" s="16" t="s">
        <v>41</v>
      </c>
      <c r="C23" s="17" t="b">
        <f aca="false">FALSE()</f>
        <v>0</v>
      </c>
      <c r="D23" s="17" t="b">
        <f aca="false">FALSE()</f>
        <v>0</v>
      </c>
      <c r="E23" s="17" t="b">
        <f aca="false">FALSE()</f>
        <v>0</v>
      </c>
      <c r="F23" s="17" t="b">
        <f aca="false">FALSE()</f>
        <v>0</v>
      </c>
      <c r="G23" s="17" t="b">
        <f aca="false">FALSE()</f>
        <v>0</v>
      </c>
      <c r="H23" s="17" t="b">
        <f aca="false">FALSE()</f>
        <v>0</v>
      </c>
      <c r="I23" s="17" t="b">
        <f aca="false">FALSE()</f>
        <v>0</v>
      </c>
      <c r="J23" s="17" t="b">
        <f aca="false">FALSE()</f>
        <v>0</v>
      </c>
      <c r="K23" s="17" t="b">
        <f aca="false">FALSE()</f>
        <v>0</v>
      </c>
      <c r="L23" s="17" t="b">
        <f aca="false">FALSE()</f>
        <v>0</v>
      </c>
      <c r="M23" s="17" t="b">
        <f aca="false">FALSE()</f>
        <v>0</v>
      </c>
      <c r="N23" s="17" t="b">
        <f aca="false">FALSE()</f>
        <v>0</v>
      </c>
      <c r="O23" s="17" t="b">
        <f aca="false">FALSE()</f>
        <v>0</v>
      </c>
      <c r="P23" s="17" t="b">
        <f aca="false">FALSE()</f>
        <v>0</v>
      </c>
      <c r="Q23" s="17" t="b">
        <f aca="false">FALSE()</f>
        <v>0</v>
      </c>
      <c r="R23" s="17" t="b">
        <f aca="false">FALSE()</f>
        <v>0</v>
      </c>
      <c r="S23" s="17" t="b">
        <f aca="false">FALSE()</f>
        <v>0</v>
      </c>
      <c r="T23" s="17" t="b">
        <f aca="false">FALSE()</f>
        <v>0</v>
      </c>
      <c r="U23" s="17" t="b">
        <f aca="false">FALSE()</f>
        <v>0</v>
      </c>
      <c r="V23" s="17" t="b">
        <f aca="false">FALSE()</f>
        <v>0</v>
      </c>
      <c r="W23" s="17" t="b">
        <f aca="false">FALSE()</f>
        <v>0</v>
      </c>
      <c r="X23" s="17" t="b">
        <f aca="false">FALSE()</f>
        <v>0</v>
      </c>
      <c r="Y23" s="17" t="b">
        <f aca="false">FALSE()</f>
        <v>0</v>
      </c>
      <c r="Z23" s="17" t="b">
        <f aca="false">FALSE()</f>
        <v>0</v>
      </c>
      <c r="AA23" s="17" t="b">
        <f aca="false">FALSE()</f>
        <v>0</v>
      </c>
      <c r="AB23" s="17" t="b">
        <f aca="false">FALSE()</f>
        <v>0</v>
      </c>
      <c r="AC23" s="17" t="b">
        <f aca="false">FALSE()</f>
        <v>0</v>
      </c>
      <c r="AD23" s="17" t="b">
        <f aca="false">FALSE()</f>
        <v>0</v>
      </c>
      <c r="AE23" s="17" t="b">
        <f aca="false">FALSE()</f>
        <v>0</v>
      </c>
      <c r="AF23" s="17" t="b">
        <f aca="false">FALSE()</f>
        <v>0</v>
      </c>
      <c r="AG23" s="17" t="b">
        <f aca="false">FALSE()</f>
        <v>0</v>
      </c>
      <c r="AH23" s="1"/>
      <c r="AI23" s="18" t="n">
        <f aca="false">IF($B23="","",$AP$3)</f>
        <v>31</v>
      </c>
      <c r="AJ23" s="18" t="n">
        <f aca="false">IF($B23="","",COUNTIF(C23:AG23,TRUE()))</f>
        <v>0</v>
      </c>
      <c r="AK23" s="18" t="n">
        <f aca="false">IF($B23="","",AI23-AJ23)</f>
        <v>31</v>
      </c>
      <c r="AL23" s="19" t="n">
        <f aca="false">IF($B23="","",AJ23/AI23)</f>
        <v>0</v>
      </c>
      <c r="AM23" s="20" t="n">
        <f aca="false">IF($B23="","",AJ23/AI23)</f>
        <v>0</v>
      </c>
      <c r="AN23" s="21" t="n">
        <f aca="false">IF($B23="",-1,AM23-ROW()/100000)</f>
        <v>-0.00023</v>
      </c>
      <c r="AO23" s="1"/>
    </row>
    <row r="24" customFormat="false" ht="18" hidden="false" customHeight="true" outlineLevel="0" collapsed="false">
      <c r="A24" s="1"/>
      <c r="B24" s="16" t="s">
        <v>42</v>
      </c>
      <c r="C24" s="17" t="b">
        <f aca="false">FALSE()</f>
        <v>0</v>
      </c>
      <c r="D24" s="17" t="b">
        <f aca="false">FALSE()</f>
        <v>0</v>
      </c>
      <c r="E24" s="17" t="b">
        <f aca="false">FALSE()</f>
        <v>0</v>
      </c>
      <c r="F24" s="17" t="b">
        <f aca="false">FALSE()</f>
        <v>0</v>
      </c>
      <c r="G24" s="17" t="b">
        <f aca="false">FALSE()</f>
        <v>0</v>
      </c>
      <c r="H24" s="17" t="b">
        <f aca="false">FALSE()</f>
        <v>0</v>
      </c>
      <c r="I24" s="17" t="b">
        <f aca="false">FALSE()</f>
        <v>0</v>
      </c>
      <c r="J24" s="17" t="b">
        <f aca="false">FALSE()</f>
        <v>0</v>
      </c>
      <c r="K24" s="17" t="b">
        <f aca="false">FALSE()</f>
        <v>0</v>
      </c>
      <c r="L24" s="17" t="b">
        <f aca="false">FALSE()</f>
        <v>0</v>
      </c>
      <c r="M24" s="17" t="b">
        <f aca="false">FALSE()</f>
        <v>0</v>
      </c>
      <c r="N24" s="17" t="b">
        <f aca="false">FALSE()</f>
        <v>0</v>
      </c>
      <c r="O24" s="17" t="b">
        <f aca="false">FALSE()</f>
        <v>0</v>
      </c>
      <c r="P24" s="17" t="b">
        <f aca="false">FALSE()</f>
        <v>0</v>
      </c>
      <c r="Q24" s="17" t="b">
        <f aca="false">FALSE()</f>
        <v>0</v>
      </c>
      <c r="R24" s="17" t="b">
        <f aca="false">FALSE()</f>
        <v>0</v>
      </c>
      <c r="S24" s="17" t="b">
        <f aca="false">FALSE()</f>
        <v>0</v>
      </c>
      <c r="T24" s="17" t="b">
        <f aca="false">FALSE()</f>
        <v>0</v>
      </c>
      <c r="U24" s="17" t="b">
        <f aca="false">FALSE()</f>
        <v>0</v>
      </c>
      <c r="V24" s="17" t="b">
        <f aca="false">FALSE()</f>
        <v>0</v>
      </c>
      <c r="W24" s="17" t="b">
        <f aca="false">FALSE()</f>
        <v>0</v>
      </c>
      <c r="X24" s="17" t="b">
        <f aca="false">FALSE()</f>
        <v>0</v>
      </c>
      <c r="Y24" s="17" t="b">
        <f aca="false">FALSE()</f>
        <v>0</v>
      </c>
      <c r="Z24" s="17" t="b">
        <f aca="false">FALSE()</f>
        <v>0</v>
      </c>
      <c r="AA24" s="17" t="b">
        <f aca="false">FALSE()</f>
        <v>0</v>
      </c>
      <c r="AB24" s="17" t="b">
        <f aca="false">FALSE()</f>
        <v>0</v>
      </c>
      <c r="AC24" s="17" t="b">
        <f aca="false">FALSE()</f>
        <v>0</v>
      </c>
      <c r="AD24" s="17" t="b">
        <f aca="false">FALSE()</f>
        <v>0</v>
      </c>
      <c r="AE24" s="17" t="b">
        <f aca="false">FALSE()</f>
        <v>0</v>
      </c>
      <c r="AF24" s="17" t="b">
        <f aca="false">FALSE()</f>
        <v>0</v>
      </c>
      <c r="AG24" s="17" t="b">
        <f aca="false">FALSE()</f>
        <v>0</v>
      </c>
      <c r="AH24" s="1"/>
      <c r="AI24" s="18" t="n">
        <f aca="false">IF($B24="","",$AP$3)</f>
        <v>31</v>
      </c>
      <c r="AJ24" s="18" t="n">
        <f aca="false">IF($B24="","",COUNTIF(C24:AG24,TRUE()))</f>
        <v>0</v>
      </c>
      <c r="AK24" s="18" t="n">
        <f aca="false">IF($B24="","",AI24-AJ24)</f>
        <v>31</v>
      </c>
      <c r="AL24" s="19" t="n">
        <f aca="false">IF($B24="","",AJ24/AI24)</f>
        <v>0</v>
      </c>
      <c r="AM24" s="20" t="n">
        <f aca="false">IF($B24="","",AJ24/AI24)</f>
        <v>0</v>
      </c>
      <c r="AN24" s="21" t="n">
        <f aca="false">IF($B24="",-1,AM24-ROW()/100000)</f>
        <v>-0.00024</v>
      </c>
      <c r="AO24" s="1"/>
    </row>
    <row r="25" customFormat="false" ht="18" hidden="false" customHeight="true" outlineLevel="0" collapsed="false">
      <c r="A25" s="1"/>
      <c r="B25" s="16" t="s">
        <v>43</v>
      </c>
      <c r="C25" s="17" t="b">
        <f aca="false">FALSE()</f>
        <v>0</v>
      </c>
      <c r="D25" s="17" t="b">
        <f aca="false">FALSE()</f>
        <v>0</v>
      </c>
      <c r="E25" s="17" t="b">
        <f aca="false">FALSE()</f>
        <v>0</v>
      </c>
      <c r="F25" s="17" t="b">
        <f aca="false">FALSE()</f>
        <v>0</v>
      </c>
      <c r="G25" s="17" t="b">
        <f aca="false">FALSE()</f>
        <v>0</v>
      </c>
      <c r="H25" s="17" t="b">
        <f aca="false">FALSE()</f>
        <v>0</v>
      </c>
      <c r="I25" s="17" t="b">
        <f aca="false">FALSE()</f>
        <v>0</v>
      </c>
      <c r="J25" s="17" t="b">
        <f aca="false">FALSE()</f>
        <v>0</v>
      </c>
      <c r="K25" s="17" t="b">
        <f aca="false">FALSE()</f>
        <v>0</v>
      </c>
      <c r="L25" s="17" t="b">
        <f aca="false">FALSE()</f>
        <v>0</v>
      </c>
      <c r="M25" s="17" t="b">
        <f aca="false">FALSE()</f>
        <v>0</v>
      </c>
      <c r="N25" s="17" t="b">
        <f aca="false">FALSE()</f>
        <v>0</v>
      </c>
      <c r="O25" s="17" t="b">
        <f aca="false">FALSE()</f>
        <v>0</v>
      </c>
      <c r="P25" s="17" t="b">
        <f aca="false">FALSE()</f>
        <v>0</v>
      </c>
      <c r="Q25" s="17" t="b">
        <f aca="false">FALSE()</f>
        <v>0</v>
      </c>
      <c r="R25" s="17" t="b">
        <f aca="false">FALSE()</f>
        <v>0</v>
      </c>
      <c r="S25" s="17" t="b">
        <f aca="false">FALSE()</f>
        <v>0</v>
      </c>
      <c r="T25" s="17" t="b">
        <f aca="false">FALSE()</f>
        <v>0</v>
      </c>
      <c r="U25" s="17" t="b">
        <f aca="false">FALSE()</f>
        <v>0</v>
      </c>
      <c r="V25" s="17" t="b">
        <f aca="false">FALSE()</f>
        <v>0</v>
      </c>
      <c r="W25" s="17" t="b">
        <f aca="false">FALSE()</f>
        <v>0</v>
      </c>
      <c r="X25" s="17" t="b">
        <f aca="false">FALSE()</f>
        <v>0</v>
      </c>
      <c r="Y25" s="17" t="b">
        <f aca="false">FALSE()</f>
        <v>0</v>
      </c>
      <c r="Z25" s="17" t="b">
        <f aca="false">FALSE()</f>
        <v>0</v>
      </c>
      <c r="AA25" s="17" t="b">
        <f aca="false">FALSE()</f>
        <v>0</v>
      </c>
      <c r="AB25" s="17" t="b">
        <f aca="false">FALSE()</f>
        <v>0</v>
      </c>
      <c r="AC25" s="17" t="b">
        <f aca="false">FALSE()</f>
        <v>0</v>
      </c>
      <c r="AD25" s="17" t="b">
        <f aca="false">FALSE()</f>
        <v>0</v>
      </c>
      <c r="AE25" s="17" t="b">
        <f aca="false">FALSE()</f>
        <v>0</v>
      </c>
      <c r="AF25" s="17" t="b">
        <f aca="false">FALSE()</f>
        <v>0</v>
      </c>
      <c r="AG25" s="17" t="b">
        <f aca="false">FALSE()</f>
        <v>0</v>
      </c>
      <c r="AH25" s="1"/>
      <c r="AI25" s="18" t="n">
        <f aca="false">IF($B25="","",$AP$3)</f>
        <v>31</v>
      </c>
      <c r="AJ25" s="18" t="n">
        <f aca="false">IF($B25="","",COUNTIF(C25:AG25,TRUE()))</f>
        <v>0</v>
      </c>
      <c r="AK25" s="18" t="n">
        <f aca="false">IF($B25="","",AI25-AJ25)</f>
        <v>31</v>
      </c>
      <c r="AL25" s="19" t="n">
        <f aca="false">IF($B25="","",AJ25/AI25)</f>
        <v>0</v>
      </c>
      <c r="AM25" s="20" t="n">
        <f aca="false">IF($B25="","",AJ25/AI25)</f>
        <v>0</v>
      </c>
      <c r="AN25" s="21" t="n">
        <f aca="false">IF($B25="",-1,AM25-ROW()/100000)</f>
        <v>-0.00025</v>
      </c>
      <c r="AO25" s="1"/>
    </row>
    <row r="26" customFormat="false" ht="18" hidden="false" customHeight="true" outlineLevel="0" collapsed="false">
      <c r="A26" s="1"/>
      <c r="B26" s="16" t="s">
        <v>44</v>
      </c>
      <c r="C26" s="17" t="b">
        <f aca="false">FALSE()</f>
        <v>0</v>
      </c>
      <c r="D26" s="17" t="b">
        <f aca="false">FALSE()</f>
        <v>0</v>
      </c>
      <c r="E26" s="17" t="b">
        <f aca="false">FALSE()</f>
        <v>0</v>
      </c>
      <c r="F26" s="17" t="b">
        <f aca="false">FALSE()</f>
        <v>0</v>
      </c>
      <c r="G26" s="17" t="b">
        <f aca="false">FALSE()</f>
        <v>0</v>
      </c>
      <c r="H26" s="17" t="b">
        <f aca="false">FALSE()</f>
        <v>0</v>
      </c>
      <c r="I26" s="17" t="b">
        <f aca="false">FALSE()</f>
        <v>0</v>
      </c>
      <c r="J26" s="17" t="b">
        <f aca="false">FALSE()</f>
        <v>0</v>
      </c>
      <c r="K26" s="17" t="b">
        <f aca="false">FALSE()</f>
        <v>0</v>
      </c>
      <c r="L26" s="17" t="b">
        <f aca="false">FALSE()</f>
        <v>0</v>
      </c>
      <c r="M26" s="17" t="b">
        <f aca="false">FALSE()</f>
        <v>0</v>
      </c>
      <c r="N26" s="17" t="b">
        <f aca="false">FALSE()</f>
        <v>0</v>
      </c>
      <c r="O26" s="17" t="b">
        <f aca="false">FALSE()</f>
        <v>0</v>
      </c>
      <c r="P26" s="17" t="b">
        <f aca="false">FALSE()</f>
        <v>0</v>
      </c>
      <c r="Q26" s="17" t="b">
        <f aca="false">FALSE()</f>
        <v>0</v>
      </c>
      <c r="R26" s="17" t="b">
        <f aca="false">FALSE()</f>
        <v>0</v>
      </c>
      <c r="S26" s="17" t="b">
        <f aca="false">FALSE()</f>
        <v>0</v>
      </c>
      <c r="T26" s="17" t="b">
        <f aca="false">FALSE()</f>
        <v>0</v>
      </c>
      <c r="U26" s="17" t="b">
        <f aca="false">FALSE()</f>
        <v>0</v>
      </c>
      <c r="V26" s="17" t="b">
        <f aca="false">FALSE()</f>
        <v>0</v>
      </c>
      <c r="W26" s="17" t="b">
        <f aca="false">FALSE()</f>
        <v>0</v>
      </c>
      <c r="X26" s="17" t="b">
        <f aca="false">FALSE()</f>
        <v>0</v>
      </c>
      <c r="Y26" s="17" t="b">
        <f aca="false">FALSE()</f>
        <v>0</v>
      </c>
      <c r="Z26" s="17" t="b">
        <f aca="false">FALSE()</f>
        <v>0</v>
      </c>
      <c r="AA26" s="17" t="b">
        <f aca="false">FALSE()</f>
        <v>0</v>
      </c>
      <c r="AB26" s="17" t="b">
        <f aca="false">FALSE()</f>
        <v>0</v>
      </c>
      <c r="AC26" s="17" t="b">
        <f aca="false">FALSE()</f>
        <v>0</v>
      </c>
      <c r="AD26" s="17" t="b">
        <f aca="false">FALSE()</f>
        <v>0</v>
      </c>
      <c r="AE26" s="17" t="b">
        <f aca="false">FALSE()</f>
        <v>0</v>
      </c>
      <c r="AF26" s="17" t="b">
        <f aca="false">FALSE()</f>
        <v>0</v>
      </c>
      <c r="AG26" s="17" t="b">
        <f aca="false">FALSE()</f>
        <v>0</v>
      </c>
      <c r="AH26" s="1"/>
      <c r="AI26" s="18" t="n">
        <f aca="false">IF($B26="","",$AP$3)</f>
        <v>31</v>
      </c>
      <c r="AJ26" s="18" t="n">
        <f aca="false">IF($B26="","",COUNTIF(C26:AG26,TRUE()))</f>
        <v>0</v>
      </c>
      <c r="AK26" s="18" t="n">
        <f aca="false">IF($B26="","",AI26-AJ26)</f>
        <v>31</v>
      </c>
      <c r="AL26" s="19" t="n">
        <f aca="false">IF($B26="","",AJ26/AI26)</f>
        <v>0</v>
      </c>
      <c r="AM26" s="20" t="n">
        <f aca="false">IF($B26="","",AJ26/AI26)</f>
        <v>0</v>
      </c>
      <c r="AN26" s="21" t="n">
        <f aca="false">IF($B26="",-1,AM26-ROW()/100000)</f>
        <v>-0.00026</v>
      </c>
      <c r="AO26" s="1"/>
    </row>
    <row r="27" customFormat="false" ht="18" hidden="false" customHeight="true" outlineLevel="0" collapsed="false">
      <c r="A27" s="1"/>
      <c r="B27" s="16"/>
      <c r="C27" s="17" t="b">
        <f aca="false">FALSE()</f>
        <v>0</v>
      </c>
      <c r="D27" s="17" t="b">
        <f aca="false">FALSE()</f>
        <v>0</v>
      </c>
      <c r="E27" s="17" t="b">
        <f aca="false">FALSE()</f>
        <v>0</v>
      </c>
      <c r="F27" s="17" t="b">
        <f aca="false">FALSE()</f>
        <v>0</v>
      </c>
      <c r="G27" s="17" t="b">
        <f aca="false">FALSE()</f>
        <v>0</v>
      </c>
      <c r="H27" s="17" t="b">
        <f aca="false">FALSE()</f>
        <v>0</v>
      </c>
      <c r="I27" s="17" t="b">
        <f aca="false">FALSE()</f>
        <v>0</v>
      </c>
      <c r="J27" s="17" t="b">
        <f aca="false">FALSE()</f>
        <v>0</v>
      </c>
      <c r="K27" s="17" t="b">
        <f aca="false">FALSE()</f>
        <v>0</v>
      </c>
      <c r="L27" s="17" t="b">
        <f aca="false">FALSE()</f>
        <v>0</v>
      </c>
      <c r="M27" s="17" t="b">
        <f aca="false">FALSE()</f>
        <v>0</v>
      </c>
      <c r="N27" s="17" t="b">
        <f aca="false">FALSE()</f>
        <v>0</v>
      </c>
      <c r="O27" s="17" t="b">
        <f aca="false">FALSE()</f>
        <v>0</v>
      </c>
      <c r="P27" s="17" t="b">
        <f aca="false">FALSE()</f>
        <v>0</v>
      </c>
      <c r="Q27" s="17" t="b">
        <f aca="false">FALSE()</f>
        <v>0</v>
      </c>
      <c r="R27" s="17" t="b">
        <f aca="false">FALSE()</f>
        <v>0</v>
      </c>
      <c r="S27" s="17" t="b">
        <f aca="false">FALSE()</f>
        <v>0</v>
      </c>
      <c r="T27" s="17" t="b">
        <f aca="false">FALSE()</f>
        <v>0</v>
      </c>
      <c r="U27" s="17" t="b">
        <f aca="false">FALSE()</f>
        <v>0</v>
      </c>
      <c r="V27" s="17" t="b">
        <f aca="false">FALSE()</f>
        <v>0</v>
      </c>
      <c r="W27" s="17" t="b">
        <f aca="false">FALSE()</f>
        <v>0</v>
      </c>
      <c r="X27" s="17" t="b">
        <f aca="false">FALSE()</f>
        <v>0</v>
      </c>
      <c r="Y27" s="17" t="b">
        <f aca="false">FALSE()</f>
        <v>0</v>
      </c>
      <c r="Z27" s="17" t="b">
        <f aca="false">FALSE()</f>
        <v>0</v>
      </c>
      <c r="AA27" s="17" t="b">
        <f aca="false">FALSE()</f>
        <v>0</v>
      </c>
      <c r="AB27" s="17" t="b">
        <f aca="false">FALSE()</f>
        <v>0</v>
      </c>
      <c r="AC27" s="17" t="b">
        <f aca="false">FALSE()</f>
        <v>0</v>
      </c>
      <c r="AD27" s="17" t="b">
        <f aca="false">FALSE()</f>
        <v>0</v>
      </c>
      <c r="AE27" s="17" t="b">
        <f aca="false">FALSE()</f>
        <v>0</v>
      </c>
      <c r="AF27" s="17" t="b">
        <f aca="false">FALSE()</f>
        <v>0</v>
      </c>
      <c r="AG27" s="17" t="b">
        <f aca="false">FALSE()</f>
        <v>0</v>
      </c>
      <c r="AH27" s="1"/>
      <c r="AI27" s="18" t="str">
        <f aca="false">IF($B27="","",$AP$3)</f>
        <v/>
      </c>
      <c r="AJ27" s="18" t="str">
        <f aca="false">IF($B27="","",COUNTIF(C27:AG27,TRUE()))</f>
        <v/>
      </c>
      <c r="AK27" s="18" t="str">
        <f aca="false">IF($B27="","",AI27-AJ27)</f>
        <v/>
      </c>
      <c r="AL27" s="19" t="str">
        <f aca="false">IF($B27="","",AJ27/AI27)</f>
        <v/>
      </c>
      <c r="AM27" s="20" t="str">
        <f aca="false">IF($B27="","",AJ27/AI27)</f>
        <v/>
      </c>
      <c r="AN27" s="1" t="n">
        <f aca="false">IF($B27="",-1,AM27-ROW()/100000)</f>
        <v>-1</v>
      </c>
      <c r="AO27" s="1"/>
    </row>
    <row r="28" customFormat="false" ht="18" hidden="false" customHeight="true" outlineLevel="0" collapsed="false">
      <c r="A28" s="1"/>
      <c r="B28" s="16"/>
      <c r="C28" s="17" t="b">
        <f aca="false">FALSE()</f>
        <v>0</v>
      </c>
      <c r="D28" s="17" t="b">
        <f aca="false">FALSE()</f>
        <v>0</v>
      </c>
      <c r="E28" s="17" t="b">
        <f aca="false">FALSE()</f>
        <v>0</v>
      </c>
      <c r="F28" s="17" t="b">
        <f aca="false">FALSE()</f>
        <v>0</v>
      </c>
      <c r="G28" s="17" t="b">
        <f aca="false">FALSE()</f>
        <v>0</v>
      </c>
      <c r="H28" s="17" t="b">
        <f aca="false">FALSE()</f>
        <v>0</v>
      </c>
      <c r="I28" s="17" t="b">
        <f aca="false">FALSE()</f>
        <v>0</v>
      </c>
      <c r="J28" s="17" t="b">
        <f aca="false">FALSE()</f>
        <v>0</v>
      </c>
      <c r="K28" s="17" t="b">
        <f aca="false">FALSE()</f>
        <v>0</v>
      </c>
      <c r="L28" s="17" t="b">
        <f aca="false">FALSE()</f>
        <v>0</v>
      </c>
      <c r="M28" s="17" t="b">
        <f aca="false">FALSE()</f>
        <v>0</v>
      </c>
      <c r="N28" s="17" t="b">
        <f aca="false">FALSE()</f>
        <v>0</v>
      </c>
      <c r="O28" s="17" t="b">
        <f aca="false">FALSE()</f>
        <v>0</v>
      </c>
      <c r="P28" s="17" t="b">
        <f aca="false">FALSE()</f>
        <v>0</v>
      </c>
      <c r="Q28" s="17" t="b">
        <f aca="false">FALSE()</f>
        <v>0</v>
      </c>
      <c r="R28" s="17" t="b">
        <f aca="false">FALSE()</f>
        <v>0</v>
      </c>
      <c r="S28" s="17" t="b">
        <f aca="false">FALSE()</f>
        <v>0</v>
      </c>
      <c r="T28" s="17" t="b">
        <f aca="false">FALSE()</f>
        <v>0</v>
      </c>
      <c r="U28" s="17" t="b">
        <f aca="false">FALSE()</f>
        <v>0</v>
      </c>
      <c r="V28" s="17" t="b">
        <f aca="false">FALSE()</f>
        <v>0</v>
      </c>
      <c r="W28" s="17" t="b">
        <f aca="false">FALSE()</f>
        <v>0</v>
      </c>
      <c r="X28" s="17" t="b">
        <f aca="false">FALSE()</f>
        <v>0</v>
      </c>
      <c r="Y28" s="17" t="b">
        <f aca="false">FALSE()</f>
        <v>0</v>
      </c>
      <c r="Z28" s="17" t="b">
        <f aca="false">FALSE()</f>
        <v>0</v>
      </c>
      <c r="AA28" s="17" t="b">
        <f aca="false">FALSE()</f>
        <v>0</v>
      </c>
      <c r="AB28" s="17" t="b">
        <f aca="false">FALSE()</f>
        <v>0</v>
      </c>
      <c r="AC28" s="17" t="b">
        <f aca="false">FALSE()</f>
        <v>0</v>
      </c>
      <c r="AD28" s="17" t="b">
        <f aca="false">FALSE()</f>
        <v>0</v>
      </c>
      <c r="AE28" s="17" t="b">
        <f aca="false">FALSE()</f>
        <v>0</v>
      </c>
      <c r="AF28" s="17" t="b">
        <f aca="false">FALSE()</f>
        <v>0</v>
      </c>
      <c r="AG28" s="17" t="b">
        <f aca="false">FALSE()</f>
        <v>0</v>
      </c>
      <c r="AH28" s="1"/>
      <c r="AI28" s="18" t="str">
        <f aca="false">IF($B28="","",$AP$3)</f>
        <v/>
      </c>
      <c r="AJ28" s="18" t="str">
        <f aca="false">IF($B28="","",COUNTIF(C28:AG28,TRUE()))</f>
        <v/>
      </c>
      <c r="AK28" s="18" t="str">
        <f aca="false">IF($B28="","",AI28-AJ28)</f>
        <v/>
      </c>
      <c r="AL28" s="19" t="str">
        <f aca="false">IF($B28="","",AJ28/AI28)</f>
        <v/>
      </c>
      <c r="AM28" s="20" t="str">
        <f aca="false">IF($B28="","",AJ28/AI28)</f>
        <v/>
      </c>
      <c r="AN28" s="1" t="n">
        <f aca="false">IF($B28="",-1,AM28-ROW()/100000)</f>
        <v>-1</v>
      </c>
      <c r="AO28" s="1"/>
    </row>
    <row r="29" customFormat="false" ht="15" hidden="false" customHeight="false" outlineLevel="0" collapsed="false">
      <c r="A29" s="1"/>
      <c r="B29" s="22" t="s">
        <v>45</v>
      </c>
      <c r="C29" s="23" t="n">
        <f aca="false">IF(OR(C$16="",SUMPRODUCT(--(LEN($B$17:$B$28)&gt;0))=0),"",SUMPRODUCT(($B$17:$B$28&lt;&gt;"")*(C$17:C$28=TRUE()))/SUMPRODUCT(--(LEN($B$17:$B$28)&gt;0)))</f>
        <v>0</v>
      </c>
      <c r="D29" s="23" t="n">
        <f aca="false">IF(OR(D$16="",SUMPRODUCT(--(LEN($B$17:$B$28)&gt;0))=0),"",SUMPRODUCT(($B$17:$B$28&lt;&gt;"")*(D$17:D$28=TRUE()))/SUMPRODUCT(--(LEN($B$17:$B$28)&gt;0)))</f>
        <v>0</v>
      </c>
      <c r="E29" s="23" t="n">
        <f aca="false">IF(OR(E$16="",SUMPRODUCT(--(LEN($B$17:$B$28)&gt;0))=0),"",SUMPRODUCT(($B$17:$B$28&lt;&gt;"")*(E$17:E$28=TRUE()))/SUMPRODUCT(--(LEN($B$17:$B$28)&gt;0)))</f>
        <v>0</v>
      </c>
      <c r="F29" s="23" t="n">
        <f aca="false">IF(OR(F$16="",SUMPRODUCT(--(LEN($B$17:$B$28)&gt;0))=0),"",SUMPRODUCT(($B$17:$B$28&lt;&gt;"")*(F$17:F$28=TRUE()))/SUMPRODUCT(--(LEN($B$17:$B$28)&gt;0)))</f>
        <v>0</v>
      </c>
      <c r="G29" s="23" t="n">
        <f aca="false">IF(OR(G$16="",SUMPRODUCT(--(LEN($B$17:$B$28)&gt;0))=0),"",SUMPRODUCT(($B$17:$B$28&lt;&gt;"")*(G$17:G$28=TRUE()))/SUMPRODUCT(--(LEN($B$17:$B$28)&gt;0)))</f>
        <v>0</v>
      </c>
      <c r="H29" s="23" t="n">
        <f aca="false">IF(OR(H$16="",SUMPRODUCT(--(LEN($B$17:$B$28)&gt;0))=0),"",SUMPRODUCT(($B$17:$B$28&lt;&gt;"")*(H$17:H$28=TRUE()))/SUMPRODUCT(--(LEN($B$17:$B$28)&gt;0)))</f>
        <v>0</v>
      </c>
      <c r="I29" s="23" t="n">
        <f aca="false">IF(OR(I$16="",SUMPRODUCT(--(LEN($B$17:$B$28)&gt;0))=0),"",SUMPRODUCT(($B$17:$B$28&lt;&gt;"")*(I$17:I$28=TRUE()))/SUMPRODUCT(--(LEN($B$17:$B$28)&gt;0)))</f>
        <v>0</v>
      </c>
      <c r="J29" s="23" t="n">
        <f aca="false">IF(OR(J$16="",SUMPRODUCT(--(LEN($B$17:$B$28)&gt;0))=0),"",SUMPRODUCT(($B$17:$B$28&lt;&gt;"")*(J$17:J$28=TRUE()))/SUMPRODUCT(--(LEN($B$17:$B$28)&gt;0)))</f>
        <v>0</v>
      </c>
      <c r="K29" s="23" t="n">
        <f aca="false">IF(OR(K$16="",SUMPRODUCT(--(LEN($B$17:$B$28)&gt;0))=0),"",SUMPRODUCT(($B$17:$B$28&lt;&gt;"")*(K$17:K$28=TRUE()))/SUMPRODUCT(--(LEN($B$17:$B$28)&gt;0)))</f>
        <v>0</v>
      </c>
      <c r="L29" s="23" t="n">
        <f aca="false">IF(OR(L$16="",SUMPRODUCT(--(LEN($B$17:$B$28)&gt;0))=0),"",SUMPRODUCT(($B$17:$B$28&lt;&gt;"")*(L$17:L$28=TRUE()))/SUMPRODUCT(--(LEN($B$17:$B$28)&gt;0)))</f>
        <v>0</v>
      </c>
      <c r="M29" s="23" t="n">
        <f aca="false">IF(OR(M$16="",SUMPRODUCT(--(LEN($B$17:$B$28)&gt;0))=0),"",SUMPRODUCT(($B$17:$B$28&lt;&gt;"")*(M$17:M$28=TRUE()))/SUMPRODUCT(--(LEN($B$17:$B$28)&gt;0)))</f>
        <v>0</v>
      </c>
      <c r="N29" s="23" t="n">
        <f aca="false">IF(OR(N$16="",SUMPRODUCT(--(LEN($B$17:$B$28)&gt;0))=0),"",SUMPRODUCT(($B$17:$B$28&lt;&gt;"")*(N$17:N$28=TRUE()))/SUMPRODUCT(--(LEN($B$17:$B$28)&gt;0)))</f>
        <v>0</v>
      </c>
      <c r="O29" s="23" t="n">
        <f aca="false">IF(OR(O$16="",SUMPRODUCT(--(LEN($B$17:$B$28)&gt;0))=0),"",SUMPRODUCT(($B$17:$B$28&lt;&gt;"")*(O$17:O$28=TRUE()))/SUMPRODUCT(--(LEN($B$17:$B$28)&gt;0)))</f>
        <v>0</v>
      </c>
      <c r="P29" s="23" t="n">
        <f aca="false">IF(OR(P$16="",SUMPRODUCT(--(LEN($B$17:$B$28)&gt;0))=0),"",SUMPRODUCT(($B$17:$B$28&lt;&gt;"")*(P$17:P$28=TRUE()))/SUMPRODUCT(--(LEN($B$17:$B$28)&gt;0)))</f>
        <v>0</v>
      </c>
      <c r="Q29" s="23" t="n">
        <f aca="false">IF(OR(Q$16="",SUMPRODUCT(--(LEN($B$17:$B$28)&gt;0))=0),"",SUMPRODUCT(($B$17:$B$28&lt;&gt;"")*(Q$17:Q$28=TRUE()))/SUMPRODUCT(--(LEN($B$17:$B$28)&gt;0)))</f>
        <v>0</v>
      </c>
      <c r="R29" s="23" t="n">
        <f aca="false">IF(OR(R$16="",SUMPRODUCT(--(LEN($B$17:$B$28)&gt;0))=0),"",SUMPRODUCT(($B$17:$B$28&lt;&gt;"")*(R$17:R$28=TRUE()))/SUMPRODUCT(--(LEN($B$17:$B$28)&gt;0)))</f>
        <v>0</v>
      </c>
      <c r="S29" s="23" t="n">
        <f aca="false">IF(OR(S$16="",SUMPRODUCT(--(LEN($B$17:$B$28)&gt;0))=0),"",SUMPRODUCT(($B$17:$B$28&lt;&gt;"")*(S$17:S$28=TRUE()))/SUMPRODUCT(--(LEN($B$17:$B$28)&gt;0)))</f>
        <v>0</v>
      </c>
      <c r="T29" s="23" t="n">
        <f aca="false">IF(OR(T$16="",SUMPRODUCT(--(LEN($B$17:$B$28)&gt;0))=0),"",SUMPRODUCT(($B$17:$B$28&lt;&gt;"")*(T$17:T$28=TRUE()))/SUMPRODUCT(--(LEN($B$17:$B$28)&gt;0)))</f>
        <v>0</v>
      </c>
      <c r="U29" s="23" t="n">
        <f aca="false">IF(OR(U$16="",SUMPRODUCT(--(LEN($B$17:$B$28)&gt;0))=0),"",SUMPRODUCT(($B$17:$B$28&lt;&gt;"")*(U$17:U$28=TRUE()))/SUMPRODUCT(--(LEN($B$17:$B$28)&gt;0)))</f>
        <v>0</v>
      </c>
      <c r="V29" s="23" t="n">
        <f aca="false">IF(OR(V$16="",SUMPRODUCT(--(LEN($B$17:$B$28)&gt;0))=0),"",SUMPRODUCT(($B$17:$B$28&lt;&gt;"")*(V$17:V$28=TRUE()))/SUMPRODUCT(--(LEN($B$17:$B$28)&gt;0)))</f>
        <v>0</v>
      </c>
      <c r="W29" s="23" t="n">
        <f aca="false">IF(OR(W$16="",SUMPRODUCT(--(LEN($B$17:$B$28)&gt;0))=0),"",SUMPRODUCT(($B$17:$B$28&lt;&gt;"")*(W$17:W$28=TRUE()))/SUMPRODUCT(--(LEN($B$17:$B$28)&gt;0)))</f>
        <v>0</v>
      </c>
      <c r="X29" s="23" t="n">
        <f aca="false">IF(OR(X$16="",SUMPRODUCT(--(LEN($B$17:$B$28)&gt;0))=0),"",SUMPRODUCT(($B$17:$B$28&lt;&gt;"")*(X$17:X$28=TRUE()))/SUMPRODUCT(--(LEN($B$17:$B$28)&gt;0)))</f>
        <v>0</v>
      </c>
      <c r="Y29" s="23" t="n">
        <f aca="false">IF(OR(Y$16="",SUMPRODUCT(--(LEN($B$17:$B$28)&gt;0))=0),"",SUMPRODUCT(($B$17:$B$28&lt;&gt;"")*(Y$17:Y$28=TRUE()))/SUMPRODUCT(--(LEN($B$17:$B$28)&gt;0)))</f>
        <v>0</v>
      </c>
      <c r="Z29" s="23" t="n">
        <f aca="false">IF(OR(Z$16="",SUMPRODUCT(--(LEN($B$17:$B$28)&gt;0))=0),"",SUMPRODUCT(($B$17:$B$28&lt;&gt;"")*(Z$17:Z$28=TRUE()))/SUMPRODUCT(--(LEN($B$17:$B$28)&gt;0)))</f>
        <v>0</v>
      </c>
      <c r="AA29" s="23" t="n">
        <f aca="false">IF(OR(AA$16="",SUMPRODUCT(--(LEN($B$17:$B$28)&gt;0))=0),"",SUMPRODUCT(($B$17:$B$28&lt;&gt;"")*(AA$17:AA$28=TRUE()))/SUMPRODUCT(--(LEN($B$17:$B$28)&gt;0)))</f>
        <v>0</v>
      </c>
      <c r="AB29" s="23" t="n">
        <f aca="false">IF(OR(AB$16="",SUMPRODUCT(--(LEN($B$17:$B$28)&gt;0))=0),"",SUMPRODUCT(($B$17:$B$28&lt;&gt;"")*(AB$17:AB$28=TRUE()))/SUMPRODUCT(--(LEN($B$17:$B$28)&gt;0)))</f>
        <v>0</v>
      </c>
      <c r="AC29" s="23" t="n">
        <f aca="false">IF(OR(AC$16="",SUMPRODUCT(--(LEN($B$17:$B$28)&gt;0))=0),"",SUMPRODUCT(($B$17:$B$28&lt;&gt;"")*(AC$17:AC$28=TRUE()))/SUMPRODUCT(--(LEN($B$17:$B$28)&gt;0)))</f>
        <v>0</v>
      </c>
      <c r="AD29" s="23" t="n">
        <f aca="false">IF(OR(AD$16="",SUMPRODUCT(--(LEN($B$17:$B$28)&gt;0))=0),"",SUMPRODUCT(($B$17:$B$28&lt;&gt;"")*(AD$17:AD$28=TRUE()))/SUMPRODUCT(--(LEN($B$17:$B$28)&gt;0)))</f>
        <v>0</v>
      </c>
      <c r="AE29" s="23" t="n">
        <f aca="false">IF(OR(AE$16="",SUMPRODUCT(--(LEN($B$17:$B$28)&gt;0))=0),"",SUMPRODUCT(($B$17:$B$28&lt;&gt;"")*(AE$17:AE$28=TRUE()))/SUMPRODUCT(--(LEN($B$17:$B$28)&gt;0)))</f>
        <v>0</v>
      </c>
      <c r="AF29" s="23" t="n">
        <f aca="false">IF(OR(AF$16="",SUMPRODUCT(--(LEN($B$17:$B$28)&gt;0))=0),"",SUMPRODUCT(($B$17:$B$28&lt;&gt;"")*(AF$17:AF$28=TRUE()))/SUMPRODUCT(--(LEN($B$17:$B$28)&gt;0)))</f>
        <v>0</v>
      </c>
      <c r="AG29" s="23" t="n">
        <f aca="false">IF(OR(AG$16="",SUMPRODUCT(--(LEN($B$17:$B$28)&gt;0))=0),"",SUMPRODUCT(($B$17:$B$28&lt;&gt;"")*(AG$17:AG$28=TRUE()))/SUMPRODUCT(--(LEN($B$17:$B$28)&gt;0)))</f>
        <v>0</v>
      </c>
      <c r="AH29" s="1"/>
      <c r="AI29" s="1"/>
      <c r="AJ29" s="1"/>
      <c r="AK29" s="1"/>
      <c r="AL29" s="1"/>
      <c r="AM29" s="1"/>
      <c r="AN29" s="1"/>
      <c r="AO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</row>
    <row r="31" customFormat="false" ht="15" hidden="false" customHeight="false" outlineLevel="0" collapsed="false">
      <c r="A31" s="1"/>
      <c r="B31" s="24"/>
      <c r="C31" s="12" t="s">
        <v>46</v>
      </c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"/>
      <c r="AI31" s="25" t="s">
        <v>47</v>
      </c>
      <c r="AJ31" s="25"/>
      <c r="AK31" s="25"/>
      <c r="AL31" s="25"/>
      <c r="AM31" s="25"/>
      <c r="AN31" s="1"/>
      <c r="AO31" s="1"/>
    </row>
    <row r="32" customFormat="false" ht="15.75" hidden="false" customHeight="true" outlineLevel="0" collapsed="false">
      <c r="A32" s="1"/>
      <c r="B32" s="7" t="s">
        <v>48</v>
      </c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1"/>
      <c r="AI32" s="27" t="n">
        <v>1</v>
      </c>
      <c r="AJ32" s="28" t="str">
        <f aca="false">IF(LARGE($AN$17:$AN$28,1)&lt;0,"",INDEX($B$17:$B$28,MATCH(LARGE($AN$17:$AN$28,1),$AN$17:$AN$28,0)))</f>
        <v/>
      </c>
      <c r="AK32" s="28"/>
      <c r="AL32" s="28"/>
      <c r="AM32" s="29" t="str">
        <f aca="false">IF(AJ32="","",INDEX($AM$17:$AM$28,MATCH(LARGE($AN$17:$AN$28,1),$AN$17:$AN$28,0)))</f>
        <v/>
      </c>
      <c r="AN32" s="1"/>
      <c r="AO32" s="1"/>
    </row>
    <row r="33" customFormat="false" ht="15.75" hidden="false" customHeight="true" outlineLevel="0" collapsed="false">
      <c r="A33" s="1"/>
      <c r="B33" s="7" t="s">
        <v>49</v>
      </c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1"/>
      <c r="AI33" s="27" t="n">
        <v>2</v>
      </c>
      <c r="AJ33" s="28" t="str">
        <f aca="false">IF(LARGE($AN$17:$AN$28,2)&lt;0,"",INDEX($B$17:$B$28,MATCH(LARGE($AN$17:$AN$28,2),$AN$17:$AN$28,0)))</f>
        <v/>
      </c>
      <c r="AK33" s="28"/>
      <c r="AL33" s="28"/>
      <c r="AM33" s="29" t="str">
        <f aca="false">IF(AJ33="","",INDEX($AM$17:$AM$28,MATCH(LARGE($AN$17:$AN$28,2),$AN$17:$AN$28,0)))</f>
        <v/>
      </c>
      <c r="AN33" s="1"/>
      <c r="AO33" s="1"/>
    </row>
    <row r="34" customFormat="false" ht="15.75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27" t="n">
        <v>3</v>
      </c>
      <c r="AJ34" s="28" t="str">
        <f aca="false">IF(LARGE($AN$17:$AN$28,3)&lt;0,"",INDEX($B$17:$B$28,MATCH(LARGE($AN$17:$AN$28,3),$AN$17:$AN$28,0)))</f>
        <v/>
      </c>
      <c r="AK34" s="28"/>
      <c r="AL34" s="28"/>
      <c r="AM34" s="29" t="str">
        <f aca="false">IF(AJ34="","",INDEX($AM$17:$AM$28,MATCH(LARGE($AN$17:$AN$28,3),$AN$17:$AN$28,0)))</f>
        <v/>
      </c>
      <c r="AN34" s="1"/>
      <c r="AO34" s="1"/>
    </row>
    <row r="35" customFormat="false" ht="15.75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27" t="n">
        <v>4</v>
      </c>
      <c r="AJ35" s="28" t="str">
        <f aca="false">IF(LARGE($AN$17:$AN$28,4)&lt;0,"",INDEX($B$17:$B$28,MATCH(LARGE($AN$17:$AN$28,4),$AN$17:$AN$28,0)))</f>
        <v/>
      </c>
      <c r="AK35" s="28"/>
      <c r="AL35" s="28"/>
      <c r="AM35" s="29" t="str">
        <f aca="false">IF(AJ35="","",INDEX($AM$17:$AM$28,MATCH(LARGE($AN$17:$AN$28,4),$AN$17:$AN$28,0)))</f>
        <v/>
      </c>
      <c r="AN35" s="1"/>
      <c r="AO35" s="1"/>
    </row>
    <row r="36" customFormat="false" ht="15.75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27" t="n">
        <v>5</v>
      </c>
      <c r="AJ36" s="28" t="str">
        <f aca="false">IF(LARGE($AN$17:$AN$28,5)&lt;0,"",INDEX($B$17:$B$28,MATCH(LARGE($AN$17:$AN$28,5),$AN$17:$AN$28,0)))</f>
        <v/>
      </c>
      <c r="AK36" s="28"/>
      <c r="AL36" s="28"/>
      <c r="AM36" s="29" t="str">
        <f aca="false">IF(AJ36="","",INDEX($AM$17:$AM$28,MATCH(LARGE($AN$17:$AN$28,5),$AN$17:$AN$28,0)))</f>
        <v/>
      </c>
      <c r="AN36" s="1"/>
      <c r="AO36" s="1"/>
    </row>
    <row r="37" customFormat="false" ht="15.75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27" t="n">
        <v>6</v>
      </c>
      <c r="AJ37" s="28" t="str">
        <f aca="false">IF(LARGE($AN$17:$AN$28,6)&lt;0,"",INDEX($B$17:$B$28,MATCH(LARGE($AN$17:$AN$28,6),$AN$17:$AN$28,0)))</f>
        <v/>
      </c>
      <c r="AK37" s="28"/>
      <c r="AL37" s="28"/>
      <c r="AM37" s="29" t="str">
        <f aca="false">IF(AJ37="","",INDEX($AM$17:$AM$28,MATCH(LARGE($AN$17:$AN$28,6),$AN$17:$AN$28,0)))</f>
        <v/>
      </c>
      <c r="AN37" s="1"/>
      <c r="AO37" s="1"/>
    </row>
    <row r="38" customFormat="false" ht="15.75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27" t="n">
        <v>7</v>
      </c>
      <c r="AJ38" s="28" t="str">
        <f aca="false">IF(LARGE($AN$17:$AN$28,7)&lt;0,"",INDEX($B$17:$B$28,MATCH(LARGE($AN$17:$AN$28,7),$AN$17:$AN$28,0)))</f>
        <v/>
      </c>
      <c r="AK38" s="28"/>
      <c r="AL38" s="28"/>
      <c r="AM38" s="29" t="str">
        <f aca="false">IF(AJ38="","",INDEX($AM$17:$AM$28,MATCH(LARGE($AN$17:$AN$28,7),$AN$17:$AN$28,0)))</f>
        <v/>
      </c>
      <c r="AN38" s="1"/>
      <c r="AO38" s="1"/>
    </row>
    <row r="39" customFormat="false" ht="15.75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27" t="n">
        <v>8</v>
      </c>
      <c r="AJ39" s="28" t="str">
        <f aca="false">IF(LARGE($AN$17:$AN$28,8)&lt;0,"",INDEX($B$17:$B$28,MATCH(LARGE($AN$17:$AN$28,8),$AN$17:$AN$28,0)))</f>
        <v/>
      </c>
      <c r="AK39" s="28"/>
      <c r="AL39" s="28"/>
      <c r="AM39" s="29" t="str">
        <f aca="false">IF(AJ39="","",INDEX($AM$17:$AM$28,MATCH(LARGE($AN$17:$AN$28,8),$AN$17:$AN$28,0)))</f>
        <v/>
      </c>
      <c r="AN39" s="1"/>
      <c r="AO39" s="1"/>
    </row>
    <row r="40" customFormat="false" ht="15.75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27" t="n">
        <v>9</v>
      </c>
      <c r="AJ40" s="28" t="str">
        <f aca="false">IF(LARGE($AN$17:$AN$28,9)&lt;0,"",INDEX($B$17:$B$28,MATCH(LARGE($AN$17:$AN$28,9),$AN$17:$AN$28,0)))</f>
        <v/>
      </c>
      <c r="AK40" s="28"/>
      <c r="AL40" s="28"/>
      <c r="AM40" s="29" t="str">
        <f aca="false">IF(AJ40="","",INDEX($AM$17:$AM$28,MATCH(LARGE($AN$17:$AN$28,9),$AN$17:$AN$28,0)))</f>
        <v/>
      </c>
      <c r="AN40" s="1"/>
      <c r="AO40" s="1"/>
    </row>
    <row r="41" customFormat="false" ht="15.75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27" t="n">
        <v>10</v>
      </c>
      <c r="AJ41" s="28" t="str">
        <f aca="false">IF(LARGE($AN$17:$AN$28,10)&lt;0,"",INDEX($B$17:$B$28,MATCH(LARGE($AN$17:$AN$28,10),$AN$17:$AN$28,0)))</f>
        <v/>
      </c>
      <c r="AK41" s="28"/>
      <c r="AL41" s="28"/>
      <c r="AM41" s="29" t="str">
        <f aca="false">IF(AJ41="","",INDEX($AM$17:$AM$28,MATCH(LARGE($AN$17:$AN$28,10),$AN$17:$AN$28,0)))</f>
        <v/>
      </c>
      <c r="AN41" s="1"/>
      <c r="AO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</row>
    <row r="48" customFormat="false" ht="15" hidden="true" customHeight="false" outlineLevel="0" collapsed="false">
      <c r="A48" s="1"/>
      <c r="B48" s="1"/>
      <c r="C48" s="1" t="str">
        <f aca="false">IF(C$16="","",C$15)</f>
        <v>Sa</v>
      </c>
      <c r="D48" s="1" t="str">
        <f aca="false">IF(D$16="","",D$15)</f>
        <v>Su</v>
      </c>
      <c r="E48" s="1" t="str">
        <f aca="false">IF(E$16="","",E$15)</f>
        <v>Mo</v>
      </c>
      <c r="F48" s="1" t="str">
        <f aca="false">IF(F$16="","",F$15)</f>
        <v>Tu</v>
      </c>
      <c r="G48" s="1" t="str">
        <f aca="false">IF(G$16="","",G$15)</f>
        <v>We</v>
      </c>
      <c r="H48" s="1" t="str">
        <f aca="false">IF(H$16="","",H$15)</f>
        <v>Th</v>
      </c>
      <c r="I48" s="1" t="str">
        <f aca="false">IF(I$16="","",I$15)</f>
        <v>Fr</v>
      </c>
      <c r="J48" s="1" t="str">
        <f aca="false">IF(J$16="","",J$15)</f>
        <v>Sa</v>
      </c>
      <c r="K48" s="1" t="str">
        <f aca="false">IF(K$16="","",K$15)</f>
        <v>Su</v>
      </c>
      <c r="L48" s="1" t="str">
        <f aca="false">IF(L$16="","",L$15)</f>
        <v>Mo</v>
      </c>
      <c r="M48" s="1" t="str">
        <f aca="false">IF(M$16="","",M$15)</f>
        <v>Tu</v>
      </c>
      <c r="N48" s="1" t="str">
        <f aca="false">IF(N$16="","",N$15)</f>
        <v>We</v>
      </c>
      <c r="O48" s="1" t="str">
        <f aca="false">IF(O$16="","",O$15)</f>
        <v>Th</v>
      </c>
      <c r="P48" s="1" t="str">
        <f aca="false">IF(P$16="","",P$15)</f>
        <v>Fr</v>
      </c>
      <c r="Q48" s="1" t="str">
        <f aca="false">IF(Q$16="","",Q$15)</f>
        <v>Sa</v>
      </c>
      <c r="R48" s="1" t="str">
        <f aca="false">IF(R$16="","",R$15)</f>
        <v>Su</v>
      </c>
      <c r="S48" s="1" t="str">
        <f aca="false">IF(S$16="","",S$15)</f>
        <v>Mo</v>
      </c>
      <c r="T48" s="1" t="str">
        <f aca="false">IF(T$16="","",T$15)</f>
        <v>Tu</v>
      </c>
      <c r="U48" s="1" t="str">
        <f aca="false">IF(U$16="","",U$15)</f>
        <v>We</v>
      </c>
      <c r="V48" s="1" t="str">
        <f aca="false">IF(V$16="","",V$15)</f>
        <v>Th</v>
      </c>
      <c r="W48" s="1" t="str">
        <f aca="false">IF(W$16="","",W$15)</f>
        <v>Fr</v>
      </c>
      <c r="X48" s="1" t="str">
        <f aca="false">IF(X$16="","",X$15)</f>
        <v>Sa</v>
      </c>
      <c r="Y48" s="1" t="str">
        <f aca="false">IF(Y$16="","",Y$15)</f>
        <v>Su</v>
      </c>
      <c r="Z48" s="1" t="str">
        <f aca="false">IF(Z$16="","",Z$15)</f>
        <v>Mo</v>
      </c>
      <c r="AA48" s="1" t="str">
        <f aca="false">IF(AA$16="","",AA$15)</f>
        <v>Tu</v>
      </c>
      <c r="AB48" s="1" t="str">
        <f aca="false">IF(AB$16="","",AB$15)</f>
        <v>We</v>
      </c>
      <c r="AC48" s="1" t="str">
        <f aca="false">IF(AC$16="","",AC$15)</f>
        <v>Th</v>
      </c>
      <c r="AD48" s="1" t="str">
        <f aca="false">IF(AD$16="","",AD$15)</f>
        <v>Fr</v>
      </c>
      <c r="AE48" s="1" t="str">
        <f aca="false">IF(AE$16="","",AE$15)</f>
        <v>Sa</v>
      </c>
      <c r="AF48" s="1" t="str">
        <f aca="false">IF(AF$16="","",AF$15)</f>
        <v>Su</v>
      </c>
      <c r="AG48" s="1" t="str">
        <f aca="false">IF(AG$16="","",AG$15)</f>
        <v>Mo</v>
      </c>
      <c r="AH48" s="1"/>
      <c r="AI48" s="1"/>
      <c r="AJ48" s="1"/>
      <c r="AK48" s="1"/>
      <c r="AL48" s="1"/>
      <c r="AM48" s="1"/>
      <c r="AN48" s="1"/>
      <c r="AO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</row>
  </sheetData>
  <mergeCells count="31">
    <mergeCell ref="B2:B3"/>
    <mergeCell ref="C2:Z2"/>
    <mergeCell ref="AA2:AG2"/>
    <mergeCell ref="AI2:AJ2"/>
    <mergeCell ref="AK2:AM2"/>
    <mergeCell ref="AI3:AJ4"/>
    <mergeCell ref="AK3:AM4"/>
    <mergeCell ref="AI5:AJ5"/>
    <mergeCell ref="AI6:AJ7"/>
    <mergeCell ref="AI8:AJ8"/>
    <mergeCell ref="AI9:AJ10"/>
    <mergeCell ref="B10:B12"/>
    <mergeCell ref="B14:B16"/>
    <mergeCell ref="C14:I14"/>
    <mergeCell ref="J14:P14"/>
    <mergeCell ref="Q14:W14"/>
    <mergeCell ref="X14:AD14"/>
    <mergeCell ref="AE14:AG14"/>
    <mergeCell ref="AI14:AM15"/>
    <mergeCell ref="C31:AG31"/>
    <mergeCell ref="AI31:AM31"/>
    <mergeCell ref="AJ32:AL32"/>
    <mergeCell ref="AJ33:AL33"/>
    <mergeCell ref="AJ34:AL34"/>
    <mergeCell ref="AJ35:AL35"/>
    <mergeCell ref="AJ36:AL36"/>
    <mergeCell ref="AJ37:AL37"/>
    <mergeCell ref="AJ38:AL38"/>
    <mergeCell ref="AJ39:AL39"/>
    <mergeCell ref="AJ40:AL40"/>
    <mergeCell ref="AJ41:AL41"/>
  </mergeCells>
  <conditionalFormatting sqref="C17:AG28">
    <cfRule type="expression" priority="2" aboveAverage="0" equalAverage="0" bottom="0" percent="0" rank="0" text="" dxfId="0">
      <formula>C$16=""</formula>
    </cfRule>
    <cfRule type="expression" priority="3" aboveAverage="0" equalAverage="0" bottom="0" percent="0" rank="0" text="" dxfId="1">
      <formula>C17=1</formula>
    </cfRule>
    <cfRule type="expression" priority="4" aboveAverage="0" equalAverage="0" bottom="0" percent="0" rank="0" text="" dxfId="2">
      <formula>C17=0</formula>
    </cfRule>
  </conditionalFormatting>
  <conditionalFormatting sqref="C32:AG33">
    <cfRule type="expression" priority="5" aboveAverage="0" equalAverage="0" bottom="0" percent="0" rank="0" text="" dxfId="3">
      <formula>C$16=""</formula>
    </cfRule>
  </conditionalFormatting>
  <conditionalFormatting sqref="AL17:AL28">
    <cfRule type="dataBar" priority="6">
      <dataBar showValue="1" minLength="10" maxLength="90">
        <cfvo type="num" val="0"/>
        <cfvo type="num" val="1"/>
        <color rgb="FF1F2433"/>
      </dataBar>
      <extLst>
        <ext xmlns:x14="http://schemas.microsoft.com/office/spreadsheetml/2009/9/main" uri="{B025F937-C7B1-47D3-B67F-A62EFF666E3E}">
          <x14:id>{54B250C4-A3BB-4032-99B6-BC3E450044C5}</x14:id>
        </ext>
      </extLst>
    </cfRule>
  </conditionalFormatting>
  <dataValidations count="4">
    <dataValidation allowBlank="false" errorStyle="stop" operator="between" showDropDown="false" showErrorMessage="false" showInputMessage="false" sqref="B9" type="list">
      <formula1>"January,February,March,April,May,June,July,August,September,October,November,December"</formula1>
      <formula2>0</formula2>
    </dataValidation>
    <dataValidation allowBlank="true" errorStyle="stop" operator="between" showDropDown="false" showErrorMessage="false" showInputMessage="false" sqref="C17:AG28" type="list">
      <formula1>"TRUE,FALSE"</formula1>
      <formula2>0</formula2>
    </dataValidation>
    <dataValidation allowBlank="true" errorStyle="stop" operator="between" showDropDown="false" showErrorMessage="false" showInputMessage="false" sqref="C32:AG32" type="list">
      <formula1>"1,2,3,4,5,6,7,8,9,10"</formula1>
      <formula2>0</formula2>
    </dataValidation>
    <dataValidation allowBlank="true" errorStyle="stop" operator="between" showDropDown="false" showErrorMessage="false" showInputMessage="false" sqref="C33:AG33" type="list">
      <formula1>"0,1,2,3,4,5,6,7,8,9,10,11,12"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4B250C4-A3BB-4032-99B6-BC3E450044C5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1F2433"/>
              <x14:axisColor rgb="FF000000"/>
            </x14:dataBar>
          </x14:cfRule>
          <xm:sqref>AL17:AL28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433"/>
    <pageSetUpPr fitToPage="false"/>
  </sheetPr>
  <dimension ref="A1:AQ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0" topLeftCell="C1" activePane="topRight" state="frozen"/>
      <selection pane="topLeft" activeCell="A1" activeCellId="0" sqref="A1"/>
      <selection pane="top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3" min="3" style="0" width="3.9"/>
    <col collapsed="false" customWidth="true" hidden="false" outlineLevel="0" max="34" min="34" style="0" width="2"/>
    <col collapsed="false" customWidth="true" hidden="false" outlineLevel="0" max="36" min="35" style="0" width="8"/>
    <col collapsed="false" customWidth="true" hidden="false" outlineLevel="0" max="37" min="37" style="0" width="7"/>
    <col collapsed="false" customWidth="true" hidden="false" outlineLevel="0" max="38" min="38" style="0" width="14"/>
    <col collapsed="false" customWidth="true" hidden="false" outlineLevel="0" max="39" min="39" style="0" width="8"/>
    <col collapsed="false" customWidth="true" hidden="true" outlineLevel="0" max="43" min="40" style="0" width="13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Q1" s="2" t="s">
        <v>0</v>
      </c>
    </row>
    <row r="2" customFormat="false" ht="21.75" hidden="false" customHeight="true" outlineLevel="0" collapsed="false">
      <c r="A2" s="1"/>
      <c r="B2" s="3" t="s">
        <v>1</v>
      </c>
      <c r="C2" s="4" t="s">
        <v>2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 t="s">
        <v>3</v>
      </c>
      <c r="AB2" s="4"/>
      <c r="AC2" s="4"/>
      <c r="AD2" s="4"/>
      <c r="AE2" s="4"/>
      <c r="AF2" s="4"/>
      <c r="AG2" s="4"/>
      <c r="AH2" s="1"/>
      <c r="AI2" s="4" t="s">
        <v>4</v>
      </c>
      <c r="AJ2" s="4"/>
      <c r="AK2" s="4" t="s">
        <v>5</v>
      </c>
      <c r="AL2" s="4"/>
      <c r="AM2" s="4"/>
      <c r="AN2" s="1"/>
      <c r="AO2" s="1" t="s">
        <v>6</v>
      </c>
      <c r="AP2" s="2" t="n">
        <f aca="false">MATCH($B$9,$AQ$1:$AQ$12,0)</f>
        <v>9</v>
      </c>
      <c r="AQ2" s="2" t="s">
        <v>7</v>
      </c>
    </row>
    <row r="3" customFormat="false" ht="15.75" hidden="false" customHeight="true" outlineLevel="0" collapsed="false">
      <c r="A3" s="1"/>
      <c r="B3" s="3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5" t="n">
        <f aca="false">SUMPRODUCT(--(LEN($B$17:$B$28)&gt;0))*$AP$3</f>
        <v>300</v>
      </c>
      <c r="AJ3" s="5"/>
      <c r="AK3" s="6" t="n">
        <f aca="false">IF(AI3=0,0,AI6/AI3)</f>
        <v>0</v>
      </c>
      <c r="AL3" s="6"/>
      <c r="AM3" s="6"/>
      <c r="AN3" s="1"/>
      <c r="AO3" s="1" t="s">
        <v>8</v>
      </c>
      <c r="AP3" s="2" t="n">
        <f aca="false">DAY(DATE($B$7,$AP$2+1,0))</f>
        <v>30</v>
      </c>
      <c r="AQ3" s="2" t="s">
        <v>9</v>
      </c>
    </row>
    <row r="4" customFormat="false" ht="15.7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5"/>
      <c r="AJ4" s="5"/>
      <c r="AK4" s="6"/>
      <c r="AL4" s="6"/>
      <c r="AM4" s="6"/>
      <c r="AN4" s="1"/>
      <c r="AO4" s="1"/>
      <c r="AQ4" s="2" t="s">
        <v>10</v>
      </c>
    </row>
    <row r="5" customFormat="false" ht="15.75" hidden="false" customHeight="true" outlineLevel="0" collapsed="false">
      <c r="A5" s="1"/>
      <c r="B5" s="7" t="s">
        <v>11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4" t="s">
        <v>12</v>
      </c>
      <c r="AJ5" s="4"/>
      <c r="AK5" s="1"/>
      <c r="AL5" s="1"/>
      <c r="AM5" s="1"/>
      <c r="AN5" s="1"/>
      <c r="AO5" s="1" t="s">
        <v>12</v>
      </c>
      <c r="AP5" s="2" t="n">
        <f aca="false">AI6</f>
        <v>0</v>
      </c>
      <c r="AQ5" s="2" t="s">
        <v>13</v>
      </c>
    </row>
    <row r="6" customFormat="false" ht="15.75" hidden="false" customHeight="true" outlineLevel="0" collapsed="false">
      <c r="A6" s="1"/>
      <c r="B6" s="8" t="s">
        <v>14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5" t="n">
        <f aca="false">SUMPRODUCT(($B$17:$B$28&lt;&gt;"")*($C$17:$AG$28=TRUE()))</f>
        <v>0</v>
      </c>
      <c r="AJ6" s="5"/>
      <c r="AK6" s="1"/>
      <c r="AL6" s="1"/>
      <c r="AM6" s="1"/>
      <c r="AN6" s="1"/>
      <c r="AO6" s="1" t="s">
        <v>15</v>
      </c>
      <c r="AP6" s="2" t="n">
        <f aca="false">AI9</f>
        <v>300</v>
      </c>
      <c r="AQ6" s="2" t="s">
        <v>16</v>
      </c>
    </row>
    <row r="7" customFormat="false" ht="15.75" hidden="false" customHeight="true" outlineLevel="0" collapsed="false">
      <c r="A7" s="1"/>
      <c r="B7" s="30" t="n">
        <f aca="false">January!$B$7</f>
        <v>2026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5"/>
      <c r="AJ7" s="5"/>
      <c r="AK7" s="1"/>
      <c r="AL7" s="1"/>
      <c r="AM7" s="1"/>
      <c r="AN7" s="1"/>
      <c r="AO7" s="1"/>
      <c r="AQ7" s="2" t="s">
        <v>17</v>
      </c>
    </row>
    <row r="8" customFormat="false" ht="15.75" hidden="false" customHeight="true" outlineLevel="0" collapsed="false">
      <c r="A8" s="1"/>
      <c r="B8" s="8" t="s">
        <v>18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4" t="s">
        <v>15</v>
      </c>
      <c r="AJ8" s="4"/>
      <c r="AK8" s="1"/>
      <c r="AL8" s="1"/>
      <c r="AM8" s="1"/>
      <c r="AN8" s="1"/>
      <c r="AO8" s="1" t="s">
        <v>19</v>
      </c>
      <c r="AP8" s="2" t="n">
        <f aca="false">IF(OR(COUNTIF(C$16:I$16,"&gt;0")=0,SUMPRODUCT(--(LEN($B$17:$B$28)&gt;0))=0),0,SUMPRODUCT(($B$17:$B$28&lt;&gt;"")*(C$17:I$28=TRUE()))/(SUMPRODUCT(--(LEN($B$17:$B$28)&gt;0))*COUNTIF(C$16:I$16,"&gt;0")))</f>
        <v>0</v>
      </c>
      <c r="AQ8" s="2" t="s">
        <v>20</v>
      </c>
    </row>
    <row r="9" customFormat="false" ht="15.75" hidden="false" customHeight="true" outlineLevel="0" collapsed="false">
      <c r="A9" s="1"/>
      <c r="B9" s="9" t="s">
        <v>22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5" t="n">
        <f aca="false">AI3-AI6</f>
        <v>300</v>
      </c>
      <c r="AJ9" s="5"/>
      <c r="AK9" s="1"/>
      <c r="AL9" s="1"/>
      <c r="AM9" s="1"/>
      <c r="AN9" s="1"/>
      <c r="AO9" s="1" t="s">
        <v>21</v>
      </c>
      <c r="AP9" s="2" t="n">
        <f aca="false">IF(OR(COUNTIF(J$16:P$16,"&gt;0")=0,SUMPRODUCT(--(LEN($B$17:$B$28)&gt;0))=0),0,SUMPRODUCT(($B$17:$B$28&lt;&gt;"")*(J$17:P$28=TRUE()))/(SUMPRODUCT(--(LEN($B$17:$B$28)&gt;0))*COUNTIF(J$16:P$16,"&gt;0")))</f>
        <v>0</v>
      </c>
      <c r="AQ9" s="2" t="s">
        <v>22</v>
      </c>
    </row>
    <row r="10" customFormat="false" ht="15.75" hidden="false" customHeight="true" outlineLevel="0" collapsed="false">
      <c r="A10" s="1"/>
      <c r="B10" s="10" t="s">
        <v>23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5"/>
      <c r="AJ10" s="5"/>
      <c r="AK10" s="1"/>
      <c r="AL10" s="1"/>
      <c r="AM10" s="1"/>
      <c r="AN10" s="1"/>
      <c r="AO10" s="1" t="s">
        <v>24</v>
      </c>
      <c r="AP10" s="2" t="n">
        <f aca="false">IF(OR(COUNTIF(Q$16:W$16,"&gt;0")=0,SUMPRODUCT(--(LEN($B$17:$B$28)&gt;0))=0),0,SUMPRODUCT(($B$17:$B$28&lt;&gt;"")*(Q$17:W$28=TRUE()))/(SUMPRODUCT(--(LEN($B$17:$B$28)&gt;0))*COUNTIF(Q$16:W$16,"&gt;0")))</f>
        <v>0</v>
      </c>
      <c r="AQ10" s="2" t="s">
        <v>25</v>
      </c>
    </row>
    <row r="11" customFormat="false" ht="15.75" hidden="false" customHeight="true" outlineLevel="0" collapsed="false">
      <c r="A11" s="1"/>
      <c r="B11" s="10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 t="s">
        <v>26</v>
      </c>
      <c r="AP11" s="2" t="n">
        <f aca="false">IF(OR(COUNTIF(X$16:AD$16,"&gt;0")=0,SUMPRODUCT(--(LEN($B$17:$B$28)&gt;0))=0),0,SUMPRODUCT(($B$17:$B$28&lt;&gt;"")*(X$17:AD$28=TRUE()))/(SUMPRODUCT(--(LEN($B$17:$B$28)&gt;0))*COUNTIF(X$16:AD$16,"&gt;0")))</f>
        <v>0</v>
      </c>
      <c r="AQ11" s="2" t="s">
        <v>27</v>
      </c>
    </row>
    <row r="12" customFormat="false" ht="15.75" hidden="false" customHeight="true" outlineLevel="0" collapsed="false">
      <c r="A12" s="1"/>
      <c r="B12" s="10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 t="s">
        <v>28</v>
      </c>
      <c r="AP12" s="2" t="n">
        <f aca="false">IF(OR(COUNTIF(AE$16:AG$16,"&gt;0")=0,SUMPRODUCT(--(LEN($B$17:$B$28)&gt;0))=0),0,SUMPRODUCT(($B$17:$B$28&lt;&gt;"")*(AE$17:AG$28=TRUE()))/(SUMPRODUCT(--(LEN($B$17:$B$28)&gt;0))*COUNTIF(AE$16:AG$16,"&gt;0")))</f>
        <v>0</v>
      </c>
      <c r="AQ12" s="2" t="s">
        <v>29</v>
      </c>
    </row>
    <row r="13" customFormat="false" ht="15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</row>
    <row r="14" customFormat="false" ht="15" hidden="false" customHeight="false" outlineLevel="0" collapsed="false">
      <c r="A14" s="1"/>
      <c r="B14" s="11" t="s">
        <v>30</v>
      </c>
      <c r="C14" s="12" t="s">
        <v>19</v>
      </c>
      <c r="D14" s="12"/>
      <c r="E14" s="12"/>
      <c r="F14" s="12"/>
      <c r="G14" s="12"/>
      <c r="H14" s="12"/>
      <c r="I14" s="12"/>
      <c r="J14" s="12" t="s">
        <v>21</v>
      </c>
      <c r="K14" s="12"/>
      <c r="L14" s="12"/>
      <c r="M14" s="12"/>
      <c r="N14" s="12"/>
      <c r="O14" s="12"/>
      <c r="P14" s="12"/>
      <c r="Q14" s="12" t="s">
        <v>24</v>
      </c>
      <c r="R14" s="12"/>
      <c r="S14" s="12"/>
      <c r="T14" s="12"/>
      <c r="U14" s="12"/>
      <c r="V14" s="12"/>
      <c r="W14" s="12"/>
      <c r="X14" s="12" t="s">
        <v>26</v>
      </c>
      <c r="Y14" s="12"/>
      <c r="Z14" s="12"/>
      <c r="AA14" s="12"/>
      <c r="AB14" s="12"/>
      <c r="AC14" s="12"/>
      <c r="AD14" s="12"/>
      <c r="AE14" s="12" t="s">
        <v>28</v>
      </c>
      <c r="AF14" s="12"/>
      <c r="AG14" s="12"/>
      <c r="AH14" s="1"/>
      <c r="AI14" s="13" t="s">
        <v>31</v>
      </c>
      <c r="AJ14" s="13"/>
      <c r="AK14" s="13"/>
      <c r="AL14" s="13"/>
      <c r="AM14" s="13"/>
      <c r="AN14" s="1"/>
      <c r="AO14" s="1"/>
    </row>
    <row r="15" customFormat="false" ht="15" hidden="false" customHeight="false" outlineLevel="0" collapsed="false">
      <c r="A15" s="1"/>
      <c r="B15" s="11"/>
      <c r="C15" s="14" t="str">
        <f aca="false">IF(1&gt;$AP$3,"",CHOOSE(WEEKDAY(DATE($B$7,$AP$2,1)),"Su","Mo","Tu","We","Th","Fr","Sa"))</f>
        <v>Tu</v>
      </c>
      <c r="D15" s="14" t="str">
        <f aca="false">IF(2&gt;$AP$3,"",CHOOSE(WEEKDAY(DATE($B$7,$AP$2,2)),"Su","Mo","Tu","We","Th","Fr","Sa"))</f>
        <v>We</v>
      </c>
      <c r="E15" s="14" t="str">
        <f aca="false">IF(3&gt;$AP$3,"",CHOOSE(WEEKDAY(DATE($B$7,$AP$2,3)),"Su","Mo","Tu","We","Th","Fr","Sa"))</f>
        <v>Th</v>
      </c>
      <c r="F15" s="14" t="str">
        <f aca="false">IF(4&gt;$AP$3,"",CHOOSE(WEEKDAY(DATE($B$7,$AP$2,4)),"Su","Mo","Tu","We","Th","Fr","Sa"))</f>
        <v>Fr</v>
      </c>
      <c r="G15" s="14" t="str">
        <f aca="false">IF(5&gt;$AP$3,"",CHOOSE(WEEKDAY(DATE($B$7,$AP$2,5)),"Su","Mo","Tu","We","Th","Fr","Sa"))</f>
        <v>Sa</v>
      </c>
      <c r="H15" s="14" t="str">
        <f aca="false">IF(6&gt;$AP$3,"",CHOOSE(WEEKDAY(DATE($B$7,$AP$2,6)),"Su","Mo","Tu","We","Th","Fr","Sa"))</f>
        <v>Su</v>
      </c>
      <c r="I15" s="14" t="str">
        <f aca="false">IF(7&gt;$AP$3,"",CHOOSE(WEEKDAY(DATE($B$7,$AP$2,7)),"Su","Mo","Tu","We","Th","Fr","Sa"))</f>
        <v>Mo</v>
      </c>
      <c r="J15" s="14" t="str">
        <f aca="false">IF(8&gt;$AP$3,"",CHOOSE(WEEKDAY(DATE($B$7,$AP$2,8)),"Su","Mo","Tu","We","Th","Fr","Sa"))</f>
        <v>Tu</v>
      </c>
      <c r="K15" s="14" t="str">
        <f aca="false">IF(9&gt;$AP$3,"",CHOOSE(WEEKDAY(DATE($B$7,$AP$2,9)),"Su","Mo","Tu","We","Th","Fr","Sa"))</f>
        <v>We</v>
      </c>
      <c r="L15" s="14" t="str">
        <f aca="false">IF(10&gt;$AP$3,"",CHOOSE(WEEKDAY(DATE($B$7,$AP$2,10)),"Su","Mo","Tu","We","Th","Fr","Sa"))</f>
        <v>Th</v>
      </c>
      <c r="M15" s="14" t="str">
        <f aca="false">IF(11&gt;$AP$3,"",CHOOSE(WEEKDAY(DATE($B$7,$AP$2,11)),"Su","Mo","Tu","We","Th","Fr","Sa"))</f>
        <v>Fr</v>
      </c>
      <c r="N15" s="14" t="str">
        <f aca="false">IF(12&gt;$AP$3,"",CHOOSE(WEEKDAY(DATE($B$7,$AP$2,12)),"Su","Mo","Tu","We","Th","Fr","Sa"))</f>
        <v>Sa</v>
      </c>
      <c r="O15" s="14" t="str">
        <f aca="false">IF(13&gt;$AP$3,"",CHOOSE(WEEKDAY(DATE($B$7,$AP$2,13)),"Su","Mo","Tu","We","Th","Fr","Sa"))</f>
        <v>Su</v>
      </c>
      <c r="P15" s="14" t="str">
        <f aca="false">IF(14&gt;$AP$3,"",CHOOSE(WEEKDAY(DATE($B$7,$AP$2,14)),"Su","Mo","Tu","We","Th","Fr","Sa"))</f>
        <v>Mo</v>
      </c>
      <c r="Q15" s="14" t="str">
        <f aca="false">IF(15&gt;$AP$3,"",CHOOSE(WEEKDAY(DATE($B$7,$AP$2,15)),"Su","Mo","Tu","We","Th","Fr","Sa"))</f>
        <v>Tu</v>
      </c>
      <c r="R15" s="14" t="str">
        <f aca="false">IF(16&gt;$AP$3,"",CHOOSE(WEEKDAY(DATE($B$7,$AP$2,16)),"Su","Mo","Tu","We","Th","Fr","Sa"))</f>
        <v>We</v>
      </c>
      <c r="S15" s="14" t="str">
        <f aca="false">IF(17&gt;$AP$3,"",CHOOSE(WEEKDAY(DATE($B$7,$AP$2,17)),"Su","Mo","Tu","We","Th","Fr","Sa"))</f>
        <v>Th</v>
      </c>
      <c r="T15" s="14" t="str">
        <f aca="false">IF(18&gt;$AP$3,"",CHOOSE(WEEKDAY(DATE($B$7,$AP$2,18)),"Su","Mo","Tu","We","Th","Fr","Sa"))</f>
        <v>Fr</v>
      </c>
      <c r="U15" s="14" t="str">
        <f aca="false">IF(19&gt;$AP$3,"",CHOOSE(WEEKDAY(DATE($B$7,$AP$2,19)),"Su","Mo","Tu","We","Th","Fr","Sa"))</f>
        <v>Sa</v>
      </c>
      <c r="V15" s="14" t="str">
        <f aca="false">IF(20&gt;$AP$3,"",CHOOSE(WEEKDAY(DATE($B$7,$AP$2,20)),"Su","Mo","Tu","We","Th","Fr","Sa"))</f>
        <v>Su</v>
      </c>
      <c r="W15" s="14" t="str">
        <f aca="false">IF(21&gt;$AP$3,"",CHOOSE(WEEKDAY(DATE($B$7,$AP$2,21)),"Su","Mo","Tu","We","Th","Fr","Sa"))</f>
        <v>Mo</v>
      </c>
      <c r="X15" s="14" t="str">
        <f aca="false">IF(22&gt;$AP$3,"",CHOOSE(WEEKDAY(DATE($B$7,$AP$2,22)),"Su","Mo","Tu","We","Th","Fr","Sa"))</f>
        <v>Tu</v>
      </c>
      <c r="Y15" s="14" t="str">
        <f aca="false">IF(23&gt;$AP$3,"",CHOOSE(WEEKDAY(DATE($B$7,$AP$2,23)),"Su","Mo","Tu","We","Th","Fr","Sa"))</f>
        <v>We</v>
      </c>
      <c r="Z15" s="14" t="str">
        <f aca="false">IF(24&gt;$AP$3,"",CHOOSE(WEEKDAY(DATE($B$7,$AP$2,24)),"Su","Mo","Tu","We","Th","Fr","Sa"))</f>
        <v>Th</v>
      </c>
      <c r="AA15" s="14" t="str">
        <f aca="false">IF(25&gt;$AP$3,"",CHOOSE(WEEKDAY(DATE($B$7,$AP$2,25)),"Su","Mo","Tu","We","Th","Fr","Sa"))</f>
        <v>Fr</v>
      </c>
      <c r="AB15" s="14" t="str">
        <f aca="false">IF(26&gt;$AP$3,"",CHOOSE(WEEKDAY(DATE($B$7,$AP$2,26)),"Su","Mo","Tu","We","Th","Fr","Sa"))</f>
        <v>Sa</v>
      </c>
      <c r="AC15" s="14" t="str">
        <f aca="false">IF(27&gt;$AP$3,"",CHOOSE(WEEKDAY(DATE($B$7,$AP$2,27)),"Su","Mo","Tu","We","Th","Fr","Sa"))</f>
        <v>Su</v>
      </c>
      <c r="AD15" s="14" t="str">
        <f aca="false">IF(28&gt;$AP$3,"",CHOOSE(WEEKDAY(DATE($B$7,$AP$2,28)),"Su","Mo","Tu","We","Th","Fr","Sa"))</f>
        <v>Mo</v>
      </c>
      <c r="AE15" s="14" t="str">
        <f aca="false">IF(29&gt;$AP$3,"",CHOOSE(WEEKDAY(DATE($B$7,$AP$2,29)),"Su","Mo","Tu","We","Th","Fr","Sa"))</f>
        <v>Tu</v>
      </c>
      <c r="AF15" s="14" t="str">
        <f aca="false">IF(30&gt;$AP$3,"",CHOOSE(WEEKDAY(DATE($B$7,$AP$2,30)),"Su","Mo","Tu","We","Th","Fr","Sa"))</f>
        <v>We</v>
      </c>
      <c r="AG15" s="14" t="str">
        <f aca="false">IF(31&gt;$AP$3,"",CHOOSE(WEEKDAY(DATE($B$7,$AP$2,31)),"Su","Mo","Tu","We","Th","Fr","Sa"))</f>
        <v/>
      </c>
      <c r="AH15" s="1"/>
      <c r="AI15" s="13"/>
      <c r="AJ15" s="13"/>
      <c r="AK15" s="13"/>
      <c r="AL15" s="13"/>
      <c r="AM15" s="13"/>
      <c r="AN15" s="1"/>
      <c r="AO15" s="1"/>
    </row>
    <row r="16" customFormat="false" ht="15" hidden="false" customHeight="false" outlineLevel="0" collapsed="false">
      <c r="A16" s="1"/>
      <c r="B16" s="11"/>
      <c r="C16" s="14" t="n">
        <f aca="false">IF(1&gt;$AP$3,"",1)</f>
        <v>1</v>
      </c>
      <c r="D16" s="14" t="n">
        <f aca="false">IF(2&gt;$AP$3,"",2)</f>
        <v>2</v>
      </c>
      <c r="E16" s="14" t="n">
        <f aca="false">IF(3&gt;$AP$3,"",3)</f>
        <v>3</v>
      </c>
      <c r="F16" s="14" t="n">
        <f aca="false">IF(4&gt;$AP$3,"",4)</f>
        <v>4</v>
      </c>
      <c r="G16" s="14" t="n">
        <f aca="false">IF(5&gt;$AP$3,"",5)</f>
        <v>5</v>
      </c>
      <c r="H16" s="14" t="n">
        <f aca="false">IF(6&gt;$AP$3,"",6)</f>
        <v>6</v>
      </c>
      <c r="I16" s="14" t="n">
        <f aca="false">IF(7&gt;$AP$3,"",7)</f>
        <v>7</v>
      </c>
      <c r="J16" s="14" t="n">
        <f aca="false">IF(8&gt;$AP$3,"",8)</f>
        <v>8</v>
      </c>
      <c r="K16" s="14" t="n">
        <f aca="false">IF(9&gt;$AP$3,"",9)</f>
        <v>9</v>
      </c>
      <c r="L16" s="14" t="n">
        <f aca="false">IF(10&gt;$AP$3,"",10)</f>
        <v>10</v>
      </c>
      <c r="M16" s="14" t="n">
        <f aca="false">IF(11&gt;$AP$3,"",11)</f>
        <v>11</v>
      </c>
      <c r="N16" s="14" t="n">
        <f aca="false">IF(12&gt;$AP$3,"",12)</f>
        <v>12</v>
      </c>
      <c r="O16" s="14" t="n">
        <f aca="false">IF(13&gt;$AP$3,"",13)</f>
        <v>13</v>
      </c>
      <c r="P16" s="14" t="n">
        <f aca="false">IF(14&gt;$AP$3,"",14)</f>
        <v>14</v>
      </c>
      <c r="Q16" s="14" t="n">
        <f aca="false">IF(15&gt;$AP$3,"",15)</f>
        <v>15</v>
      </c>
      <c r="R16" s="14" t="n">
        <f aca="false">IF(16&gt;$AP$3,"",16)</f>
        <v>16</v>
      </c>
      <c r="S16" s="14" t="n">
        <f aca="false">IF(17&gt;$AP$3,"",17)</f>
        <v>17</v>
      </c>
      <c r="T16" s="14" t="n">
        <f aca="false">IF(18&gt;$AP$3,"",18)</f>
        <v>18</v>
      </c>
      <c r="U16" s="14" t="n">
        <f aca="false">IF(19&gt;$AP$3,"",19)</f>
        <v>19</v>
      </c>
      <c r="V16" s="14" t="n">
        <f aca="false">IF(20&gt;$AP$3,"",20)</f>
        <v>20</v>
      </c>
      <c r="W16" s="14" t="n">
        <f aca="false">IF(21&gt;$AP$3,"",21)</f>
        <v>21</v>
      </c>
      <c r="X16" s="14" t="n">
        <f aca="false">IF(22&gt;$AP$3,"",22)</f>
        <v>22</v>
      </c>
      <c r="Y16" s="14" t="n">
        <f aca="false">IF(23&gt;$AP$3,"",23)</f>
        <v>23</v>
      </c>
      <c r="Z16" s="14" t="n">
        <f aca="false">IF(24&gt;$AP$3,"",24)</f>
        <v>24</v>
      </c>
      <c r="AA16" s="14" t="n">
        <f aca="false">IF(25&gt;$AP$3,"",25)</f>
        <v>25</v>
      </c>
      <c r="AB16" s="14" t="n">
        <f aca="false">IF(26&gt;$AP$3,"",26)</f>
        <v>26</v>
      </c>
      <c r="AC16" s="14" t="n">
        <f aca="false">IF(27&gt;$AP$3,"",27)</f>
        <v>27</v>
      </c>
      <c r="AD16" s="14" t="n">
        <f aca="false">IF(28&gt;$AP$3,"",28)</f>
        <v>28</v>
      </c>
      <c r="AE16" s="14" t="n">
        <f aca="false">IF(29&gt;$AP$3,"",29)</f>
        <v>29</v>
      </c>
      <c r="AF16" s="14" t="n">
        <f aca="false">IF(30&gt;$AP$3,"",30)</f>
        <v>30</v>
      </c>
      <c r="AG16" s="14" t="str">
        <f aca="false">IF(31&gt;$AP$3,"",31)</f>
        <v/>
      </c>
      <c r="AH16" s="1"/>
      <c r="AI16" s="15" t="s">
        <v>4</v>
      </c>
      <c r="AJ16" s="15" t="s">
        <v>32</v>
      </c>
      <c r="AK16" s="15" t="s">
        <v>15</v>
      </c>
      <c r="AL16" s="15" t="s">
        <v>33</v>
      </c>
      <c r="AM16" s="15" t="s">
        <v>34</v>
      </c>
      <c r="AN16" s="1"/>
      <c r="AO16" s="1"/>
    </row>
    <row r="17" customFormat="false" ht="18" hidden="false" customHeight="true" outlineLevel="0" collapsed="false">
      <c r="A17" s="1"/>
      <c r="B17" s="16" t="s">
        <v>35</v>
      </c>
      <c r="C17" s="17" t="b">
        <f aca="false">FALSE()</f>
        <v>0</v>
      </c>
      <c r="D17" s="17" t="b">
        <f aca="false">FALSE()</f>
        <v>0</v>
      </c>
      <c r="E17" s="17" t="b">
        <f aca="false">FALSE()</f>
        <v>0</v>
      </c>
      <c r="F17" s="17" t="b">
        <f aca="false">FALSE()</f>
        <v>0</v>
      </c>
      <c r="G17" s="17" t="b">
        <f aca="false">FALSE()</f>
        <v>0</v>
      </c>
      <c r="H17" s="17" t="b">
        <f aca="false">FALSE()</f>
        <v>0</v>
      </c>
      <c r="I17" s="17" t="b">
        <f aca="false">FALSE()</f>
        <v>0</v>
      </c>
      <c r="J17" s="17" t="b">
        <f aca="false">FALSE()</f>
        <v>0</v>
      </c>
      <c r="K17" s="17" t="b">
        <f aca="false">FALSE()</f>
        <v>0</v>
      </c>
      <c r="L17" s="17" t="b">
        <f aca="false">FALSE()</f>
        <v>0</v>
      </c>
      <c r="M17" s="17" t="b">
        <f aca="false">FALSE()</f>
        <v>0</v>
      </c>
      <c r="N17" s="17" t="b">
        <f aca="false">FALSE()</f>
        <v>0</v>
      </c>
      <c r="O17" s="17" t="b">
        <f aca="false">FALSE()</f>
        <v>0</v>
      </c>
      <c r="P17" s="17" t="b">
        <f aca="false">FALSE()</f>
        <v>0</v>
      </c>
      <c r="Q17" s="17" t="b">
        <f aca="false">FALSE()</f>
        <v>0</v>
      </c>
      <c r="R17" s="17" t="b">
        <f aca="false">FALSE()</f>
        <v>0</v>
      </c>
      <c r="S17" s="17" t="b">
        <f aca="false">FALSE()</f>
        <v>0</v>
      </c>
      <c r="T17" s="17" t="b">
        <f aca="false">FALSE()</f>
        <v>0</v>
      </c>
      <c r="U17" s="17" t="b">
        <f aca="false">FALSE()</f>
        <v>0</v>
      </c>
      <c r="V17" s="17" t="b">
        <f aca="false">FALSE()</f>
        <v>0</v>
      </c>
      <c r="W17" s="17" t="b">
        <f aca="false">FALSE()</f>
        <v>0</v>
      </c>
      <c r="X17" s="17" t="b">
        <f aca="false">FALSE()</f>
        <v>0</v>
      </c>
      <c r="Y17" s="17" t="b">
        <f aca="false">FALSE()</f>
        <v>0</v>
      </c>
      <c r="Z17" s="17" t="b">
        <f aca="false">FALSE()</f>
        <v>0</v>
      </c>
      <c r="AA17" s="17" t="b">
        <f aca="false">FALSE()</f>
        <v>0</v>
      </c>
      <c r="AB17" s="17" t="b">
        <f aca="false">FALSE()</f>
        <v>0</v>
      </c>
      <c r="AC17" s="17" t="b">
        <f aca="false">FALSE()</f>
        <v>0</v>
      </c>
      <c r="AD17" s="17" t="b">
        <f aca="false">FALSE()</f>
        <v>0</v>
      </c>
      <c r="AE17" s="17" t="b">
        <f aca="false">FALSE()</f>
        <v>0</v>
      </c>
      <c r="AF17" s="17" t="b">
        <f aca="false">FALSE()</f>
        <v>0</v>
      </c>
      <c r="AG17" s="17" t="b">
        <f aca="false">FALSE()</f>
        <v>0</v>
      </c>
      <c r="AH17" s="1"/>
      <c r="AI17" s="18" t="n">
        <f aca="false">IF($B17="","",$AP$3)</f>
        <v>30</v>
      </c>
      <c r="AJ17" s="18" t="n">
        <f aca="false">IF($B17="","",COUNTIF(C17:AG17,TRUE()))</f>
        <v>0</v>
      </c>
      <c r="AK17" s="18" t="n">
        <f aca="false">IF($B17="","",AI17-AJ17)</f>
        <v>30</v>
      </c>
      <c r="AL17" s="19" t="n">
        <f aca="false">IF($B17="","",AJ17/AI17)</f>
        <v>0</v>
      </c>
      <c r="AM17" s="20" t="n">
        <f aca="false">IF($B17="","",AJ17/AI17)</f>
        <v>0</v>
      </c>
      <c r="AN17" s="21" t="n">
        <f aca="false">IF($B17="",-1,AM17-ROW()/100000)</f>
        <v>-0.00017</v>
      </c>
      <c r="AO17" s="1"/>
    </row>
    <row r="18" customFormat="false" ht="18" hidden="false" customHeight="true" outlineLevel="0" collapsed="false">
      <c r="A18" s="1"/>
      <c r="B18" s="16" t="s">
        <v>36</v>
      </c>
      <c r="C18" s="17" t="b">
        <f aca="false">FALSE()</f>
        <v>0</v>
      </c>
      <c r="D18" s="17" t="b">
        <f aca="false">FALSE()</f>
        <v>0</v>
      </c>
      <c r="E18" s="17" t="b">
        <f aca="false">FALSE()</f>
        <v>0</v>
      </c>
      <c r="F18" s="17" t="b">
        <f aca="false">FALSE()</f>
        <v>0</v>
      </c>
      <c r="G18" s="17" t="b">
        <f aca="false">FALSE()</f>
        <v>0</v>
      </c>
      <c r="H18" s="17" t="b">
        <f aca="false">FALSE()</f>
        <v>0</v>
      </c>
      <c r="I18" s="17" t="b">
        <f aca="false">FALSE()</f>
        <v>0</v>
      </c>
      <c r="J18" s="17" t="b">
        <f aca="false">FALSE()</f>
        <v>0</v>
      </c>
      <c r="K18" s="17" t="b">
        <f aca="false">FALSE()</f>
        <v>0</v>
      </c>
      <c r="L18" s="17" t="b">
        <f aca="false">FALSE()</f>
        <v>0</v>
      </c>
      <c r="M18" s="17" t="b">
        <f aca="false">FALSE()</f>
        <v>0</v>
      </c>
      <c r="N18" s="17" t="b">
        <f aca="false">FALSE()</f>
        <v>0</v>
      </c>
      <c r="O18" s="17" t="b">
        <f aca="false">FALSE()</f>
        <v>0</v>
      </c>
      <c r="P18" s="17" t="b">
        <f aca="false">FALSE()</f>
        <v>0</v>
      </c>
      <c r="Q18" s="17" t="b">
        <f aca="false">FALSE()</f>
        <v>0</v>
      </c>
      <c r="R18" s="17" t="b">
        <f aca="false">FALSE()</f>
        <v>0</v>
      </c>
      <c r="S18" s="17" t="b">
        <f aca="false">FALSE()</f>
        <v>0</v>
      </c>
      <c r="T18" s="17" t="b">
        <f aca="false">FALSE()</f>
        <v>0</v>
      </c>
      <c r="U18" s="17" t="b">
        <f aca="false">FALSE()</f>
        <v>0</v>
      </c>
      <c r="V18" s="17" t="b">
        <f aca="false">FALSE()</f>
        <v>0</v>
      </c>
      <c r="W18" s="17" t="b">
        <f aca="false">FALSE()</f>
        <v>0</v>
      </c>
      <c r="X18" s="17" t="b">
        <f aca="false">FALSE()</f>
        <v>0</v>
      </c>
      <c r="Y18" s="17" t="b">
        <f aca="false">FALSE()</f>
        <v>0</v>
      </c>
      <c r="Z18" s="17" t="b">
        <f aca="false">FALSE()</f>
        <v>0</v>
      </c>
      <c r="AA18" s="17" t="b">
        <f aca="false">FALSE()</f>
        <v>0</v>
      </c>
      <c r="AB18" s="17" t="b">
        <f aca="false">FALSE()</f>
        <v>0</v>
      </c>
      <c r="AC18" s="17" t="b">
        <f aca="false">FALSE()</f>
        <v>0</v>
      </c>
      <c r="AD18" s="17" t="b">
        <f aca="false">FALSE()</f>
        <v>0</v>
      </c>
      <c r="AE18" s="17" t="b">
        <f aca="false">FALSE()</f>
        <v>0</v>
      </c>
      <c r="AF18" s="17" t="b">
        <f aca="false">FALSE()</f>
        <v>0</v>
      </c>
      <c r="AG18" s="17" t="b">
        <f aca="false">FALSE()</f>
        <v>0</v>
      </c>
      <c r="AH18" s="1"/>
      <c r="AI18" s="18" t="n">
        <f aca="false">IF($B18="","",$AP$3)</f>
        <v>30</v>
      </c>
      <c r="AJ18" s="18" t="n">
        <f aca="false">IF($B18="","",COUNTIF(C18:AG18,TRUE()))</f>
        <v>0</v>
      </c>
      <c r="AK18" s="18" t="n">
        <f aca="false">IF($B18="","",AI18-AJ18)</f>
        <v>30</v>
      </c>
      <c r="AL18" s="19" t="n">
        <f aca="false">IF($B18="","",AJ18/AI18)</f>
        <v>0</v>
      </c>
      <c r="AM18" s="20" t="n">
        <f aca="false">IF($B18="","",AJ18/AI18)</f>
        <v>0</v>
      </c>
      <c r="AN18" s="21" t="n">
        <f aca="false">IF($B18="",-1,AM18-ROW()/100000)</f>
        <v>-0.00018</v>
      </c>
      <c r="AO18" s="1"/>
    </row>
    <row r="19" customFormat="false" ht="18" hidden="false" customHeight="true" outlineLevel="0" collapsed="false">
      <c r="A19" s="1"/>
      <c r="B19" s="16" t="s">
        <v>37</v>
      </c>
      <c r="C19" s="17" t="b">
        <f aca="false">FALSE()</f>
        <v>0</v>
      </c>
      <c r="D19" s="17" t="b">
        <f aca="false">FALSE()</f>
        <v>0</v>
      </c>
      <c r="E19" s="17" t="b">
        <f aca="false">FALSE()</f>
        <v>0</v>
      </c>
      <c r="F19" s="17" t="b">
        <f aca="false">FALSE()</f>
        <v>0</v>
      </c>
      <c r="G19" s="17" t="b">
        <f aca="false">FALSE()</f>
        <v>0</v>
      </c>
      <c r="H19" s="17" t="b">
        <f aca="false">FALSE()</f>
        <v>0</v>
      </c>
      <c r="I19" s="17" t="b">
        <f aca="false">FALSE()</f>
        <v>0</v>
      </c>
      <c r="J19" s="17" t="b">
        <f aca="false">FALSE()</f>
        <v>0</v>
      </c>
      <c r="K19" s="17" t="b">
        <f aca="false">FALSE()</f>
        <v>0</v>
      </c>
      <c r="L19" s="17" t="b">
        <f aca="false">FALSE()</f>
        <v>0</v>
      </c>
      <c r="M19" s="17" t="b">
        <f aca="false">FALSE()</f>
        <v>0</v>
      </c>
      <c r="N19" s="17" t="b">
        <f aca="false">FALSE()</f>
        <v>0</v>
      </c>
      <c r="O19" s="17" t="b">
        <f aca="false">FALSE()</f>
        <v>0</v>
      </c>
      <c r="P19" s="17" t="b">
        <f aca="false">FALSE()</f>
        <v>0</v>
      </c>
      <c r="Q19" s="17" t="b">
        <f aca="false">FALSE()</f>
        <v>0</v>
      </c>
      <c r="R19" s="17" t="b">
        <f aca="false">FALSE()</f>
        <v>0</v>
      </c>
      <c r="S19" s="17" t="b">
        <f aca="false">FALSE()</f>
        <v>0</v>
      </c>
      <c r="T19" s="17" t="b">
        <f aca="false">FALSE()</f>
        <v>0</v>
      </c>
      <c r="U19" s="17" t="b">
        <f aca="false">FALSE()</f>
        <v>0</v>
      </c>
      <c r="V19" s="17" t="b">
        <f aca="false">FALSE()</f>
        <v>0</v>
      </c>
      <c r="W19" s="17" t="b">
        <f aca="false">FALSE()</f>
        <v>0</v>
      </c>
      <c r="X19" s="17" t="b">
        <f aca="false">FALSE()</f>
        <v>0</v>
      </c>
      <c r="Y19" s="17" t="b">
        <f aca="false">FALSE()</f>
        <v>0</v>
      </c>
      <c r="Z19" s="17" t="b">
        <f aca="false">FALSE()</f>
        <v>0</v>
      </c>
      <c r="AA19" s="17" t="b">
        <f aca="false">FALSE()</f>
        <v>0</v>
      </c>
      <c r="AB19" s="17" t="b">
        <f aca="false">FALSE()</f>
        <v>0</v>
      </c>
      <c r="AC19" s="17" t="b">
        <f aca="false">FALSE()</f>
        <v>0</v>
      </c>
      <c r="AD19" s="17" t="b">
        <f aca="false">FALSE()</f>
        <v>0</v>
      </c>
      <c r="AE19" s="17" t="b">
        <f aca="false">FALSE()</f>
        <v>0</v>
      </c>
      <c r="AF19" s="17" t="b">
        <f aca="false">FALSE()</f>
        <v>0</v>
      </c>
      <c r="AG19" s="17" t="b">
        <f aca="false">FALSE()</f>
        <v>0</v>
      </c>
      <c r="AH19" s="1"/>
      <c r="AI19" s="18" t="n">
        <f aca="false">IF($B19="","",$AP$3)</f>
        <v>30</v>
      </c>
      <c r="AJ19" s="18" t="n">
        <f aca="false">IF($B19="","",COUNTIF(C19:AG19,TRUE()))</f>
        <v>0</v>
      </c>
      <c r="AK19" s="18" t="n">
        <f aca="false">IF($B19="","",AI19-AJ19)</f>
        <v>30</v>
      </c>
      <c r="AL19" s="19" t="n">
        <f aca="false">IF($B19="","",AJ19/AI19)</f>
        <v>0</v>
      </c>
      <c r="AM19" s="20" t="n">
        <f aca="false">IF($B19="","",AJ19/AI19)</f>
        <v>0</v>
      </c>
      <c r="AN19" s="21" t="n">
        <f aca="false">IF($B19="",-1,AM19-ROW()/100000)</f>
        <v>-0.00019</v>
      </c>
      <c r="AO19" s="1"/>
    </row>
    <row r="20" customFormat="false" ht="18" hidden="false" customHeight="true" outlineLevel="0" collapsed="false">
      <c r="A20" s="1"/>
      <c r="B20" s="16" t="s">
        <v>38</v>
      </c>
      <c r="C20" s="17" t="b">
        <f aca="false">FALSE()</f>
        <v>0</v>
      </c>
      <c r="D20" s="17" t="b">
        <f aca="false">FALSE()</f>
        <v>0</v>
      </c>
      <c r="E20" s="17" t="b">
        <f aca="false">FALSE()</f>
        <v>0</v>
      </c>
      <c r="F20" s="17" t="b">
        <f aca="false">FALSE()</f>
        <v>0</v>
      </c>
      <c r="G20" s="17" t="b">
        <f aca="false">FALSE()</f>
        <v>0</v>
      </c>
      <c r="H20" s="17" t="b">
        <f aca="false">FALSE()</f>
        <v>0</v>
      </c>
      <c r="I20" s="17" t="b">
        <f aca="false">FALSE()</f>
        <v>0</v>
      </c>
      <c r="J20" s="17" t="b">
        <f aca="false">FALSE()</f>
        <v>0</v>
      </c>
      <c r="K20" s="17" t="b">
        <f aca="false">FALSE()</f>
        <v>0</v>
      </c>
      <c r="L20" s="17" t="b">
        <f aca="false">FALSE()</f>
        <v>0</v>
      </c>
      <c r="M20" s="17" t="b">
        <f aca="false">FALSE()</f>
        <v>0</v>
      </c>
      <c r="N20" s="17" t="b">
        <f aca="false">FALSE()</f>
        <v>0</v>
      </c>
      <c r="O20" s="17" t="b">
        <f aca="false">FALSE()</f>
        <v>0</v>
      </c>
      <c r="P20" s="17" t="b">
        <f aca="false">FALSE()</f>
        <v>0</v>
      </c>
      <c r="Q20" s="17" t="b">
        <f aca="false">FALSE()</f>
        <v>0</v>
      </c>
      <c r="R20" s="17" t="b">
        <f aca="false">FALSE()</f>
        <v>0</v>
      </c>
      <c r="S20" s="17" t="b">
        <f aca="false">FALSE()</f>
        <v>0</v>
      </c>
      <c r="T20" s="17" t="b">
        <f aca="false">FALSE()</f>
        <v>0</v>
      </c>
      <c r="U20" s="17" t="b">
        <f aca="false">FALSE()</f>
        <v>0</v>
      </c>
      <c r="V20" s="17" t="b">
        <f aca="false">FALSE()</f>
        <v>0</v>
      </c>
      <c r="W20" s="17" t="b">
        <f aca="false">FALSE()</f>
        <v>0</v>
      </c>
      <c r="X20" s="17" t="b">
        <f aca="false">FALSE()</f>
        <v>0</v>
      </c>
      <c r="Y20" s="17" t="b">
        <f aca="false">FALSE()</f>
        <v>0</v>
      </c>
      <c r="Z20" s="17" t="b">
        <f aca="false">FALSE()</f>
        <v>0</v>
      </c>
      <c r="AA20" s="17" t="b">
        <f aca="false">FALSE()</f>
        <v>0</v>
      </c>
      <c r="AB20" s="17" t="b">
        <f aca="false">FALSE()</f>
        <v>0</v>
      </c>
      <c r="AC20" s="17" t="b">
        <f aca="false">FALSE()</f>
        <v>0</v>
      </c>
      <c r="AD20" s="17" t="b">
        <f aca="false">FALSE()</f>
        <v>0</v>
      </c>
      <c r="AE20" s="17" t="b">
        <f aca="false">FALSE()</f>
        <v>0</v>
      </c>
      <c r="AF20" s="17" t="b">
        <f aca="false">FALSE()</f>
        <v>0</v>
      </c>
      <c r="AG20" s="17" t="b">
        <f aca="false">FALSE()</f>
        <v>0</v>
      </c>
      <c r="AH20" s="1"/>
      <c r="AI20" s="18" t="n">
        <f aca="false">IF($B20="","",$AP$3)</f>
        <v>30</v>
      </c>
      <c r="AJ20" s="18" t="n">
        <f aca="false">IF($B20="","",COUNTIF(C20:AG20,TRUE()))</f>
        <v>0</v>
      </c>
      <c r="AK20" s="18" t="n">
        <f aca="false">IF($B20="","",AI20-AJ20)</f>
        <v>30</v>
      </c>
      <c r="AL20" s="19" t="n">
        <f aca="false">IF($B20="","",AJ20/AI20)</f>
        <v>0</v>
      </c>
      <c r="AM20" s="20" t="n">
        <f aca="false">IF($B20="","",AJ20/AI20)</f>
        <v>0</v>
      </c>
      <c r="AN20" s="21" t="n">
        <f aca="false">IF($B20="",-1,AM20-ROW()/100000)</f>
        <v>-0.0002</v>
      </c>
      <c r="AO20" s="1"/>
    </row>
    <row r="21" customFormat="false" ht="18" hidden="false" customHeight="true" outlineLevel="0" collapsed="false">
      <c r="A21" s="1"/>
      <c r="B21" s="16" t="s">
        <v>39</v>
      </c>
      <c r="C21" s="17" t="b">
        <f aca="false">FALSE()</f>
        <v>0</v>
      </c>
      <c r="D21" s="17" t="b">
        <f aca="false">FALSE()</f>
        <v>0</v>
      </c>
      <c r="E21" s="17" t="b">
        <f aca="false">FALSE()</f>
        <v>0</v>
      </c>
      <c r="F21" s="17" t="b">
        <f aca="false">FALSE()</f>
        <v>0</v>
      </c>
      <c r="G21" s="17" t="b">
        <f aca="false">FALSE()</f>
        <v>0</v>
      </c>
      <c r="H21" s="17" t="b">
        <f aca="false">FALSE()</f>
        <v>0</v>
      </c>
      <c r="I21" s="17" t="b">
        <f aca="false">FALSE()</f>
        <v>0</v>
      </c>
      <c r="J21" s="17" t="b">
        <f aca="false">FALSE()</f>
        <v>0</v>
      </c>
      <c r="K21" s="17" t="b">
        <f aca="false">FALSE()</f>
        <v>0</v>
      </c>
      <c r="L21" s="17" t="b">
        <f aca="false">FALSE()</f>
        <v>0</v>
      </c>
      <c r="M21" s="17" t="b">
        <f aca="false">FALSE()</f>
        <v>0</v>
      </c>
      <c r="N21" s="17" t="b">
        <f aca="false">FALSE()</f>
        <v>0</v>
      </c>
      <c r="O21" s="17" t="b">
        <f aca="false">FALSE()</f>
        <v>0</v>
      </c>
      <c r="P21" s="17" t="b">
        <f aca="false">FALSE()</f>
        <v>0</v>
      </c>
      <c r="Q21" s="17" t="b">
        <f aca="false">FALSE()</f>
        <v>0</v>
      </c>
      <c r="R21" s="17" t="b">
        <f aca="false">FALSE()</f>
        <v>0</v>
      </c>
      <c r="S21" s="17" t="b">
        <f aca="false">FALSE()</f>
        <v>0</v>
      </c>
      <c r="T21" s="17" t="b">
        <f aca="false">FALSE()</f>
        <v>0</v>
      </c>
      <c r="U21" s="17" t="b">
        <f aca="false">FALSE()</f>
        <v>0</v>
      </c>
      <c r="V21" s="17" t="b">
        <f aca="false">FALSE()</f>
        <v>0</v>
      </c>
      <c r="W21" s="17" t="b">
        <f aca="false">FALSE()</f>
        <v>0</v>
      </c>
      <c r="X21" s="17" t="b">
        <f aca="false">FALSE()</f>
        <v>0</v>
      </c>
      <c r="Y21" s="17" t="b">
        <f aca="false">FALSE()</f>
        <v>0</v>
      </c>
      <c r="Z21" s="17" t="b">
        <f aca="false">FALSE()</f>
        <v>0</v>
      </c>
      <c r="AA21" s="17" t="b">
        <f aca="false">FALSE()</f>
        <v>0</v>
      </c>
      <c r="AB21" s="17" t="b">
        <f aca="false">FALSE()</f>
        <v>0</v>
      </c>
      <c r="AC21" s="17" t="b">
        <f aca="false">FALSE()</f>
        <v>0</v>
      </c>
      <c r="AD21" s="17" t="b">
        <f aca="false">FALSE()</f>
        <v>0</v>
      </c>
      <c r="AE21" s="17" t="b">
        <f aca="false">FALSE()</f>
        <v>0</v>
      </c>
      <c r="AF21" s="17" t="b">
        <f aca="false">FALSE()</f>
        <v>0</v>
      </c>
      <c r="AG21" s="17" t="b">
        <f aca="false">FALSE()</f>
        <v>0</v>
      </c>
      <c r="AH21" s="1"/>
      <c r="AI21" s="18" t="n">
        <f aca="false">IF($B21="","",$AP$3)</f>
        <v>30</v>
      </c>
      <c r="AJ21" s="18" t="n">
        <f aca="false">IF($B21="","",COUNTIF(C21:AG21,TRUE()))</f>
        <v>0</v>
      </c>
      <c r="AK21" s="18" t="n">
        <f aca="false">IF($B21="","",AI21-AJ21)</f>
        <v>30</v>
      </c>
      <c r="AL21" s="19" t="n">
        <f aca="false">IF($B21="","",AJ21/AI21)</f>
        <v>0</v>
      </c>
      <c r="AM21" s="20" t="n">
        <f aca="false">IF($B21="","",AJ21/AI21)</f>
        <v>0</v>
      </c>
      <c r="AN21" s="21" t="n">
        <f aca="false">IF($B21="",-1,AM21-ROW()/100000)</f>
        <v>-0.00021</v>
      </c>
      <c r="AO21" s="1"/>
    </row>
    <row r="22" customFormat="false" ht="18" hidden="false" customHeight="true" outlineLevel="0" collapsed="false">
      <c r="A22" s="1"/>
      <c r="B22" s="16" t="s">
        <v>40</v>
      </c>
      <c r="C22" s="17" t="b">
        <f aca="false">FALSE()</f>
        <v>0</v>
      </c>
      <c r="D22" s="17" t="b">
        <f aca="false">FALSE()</f>
        <v>0</v>
      </c>
      <c r="E22" s="17" t="b">
        <f aca="false">FALSE()</f>
        <v>0</v>
      </c>
      <c r="F22" s="17" t="b">
        <f aca="false">FALSE()</f>
        <v>0</v>
      </c>
      <c r="G22" s="17" t="b">
        <f aca="false">FALSE()</f>
        <v>0</v>
      </c>
      <c r="H22" s="17" t="b">
        <f aca="false">FALSE()</f>
        <v>0</v>
      </c>
      <c r="I22" s="17" t="b">
        <f aca="false">FALSE()</f>
        <v>0</v>
      </c>
      <c r="J22" s="17" t="b">
        <f aca="false">FALSE()</f>
        <v>0</v>
      </c>
      <c r="K22" s="17" t="b">
        <f aca="false">FALSE()</f>
        <v>0</v>
      </c>
      <c r="L22" s="17" t="b">
        <f aca="false">FALSE()</f>
        <v>0</v>
      </c>
      <c r="M22" s="17" t="b">
        <f aca="false">FALSE()</f>
        <v>0</v>
      </c>
      <c r="N22" s="17" t="b">
        <f aca="false">FALSE()</f>
        <v>0</v>
      </c>
      <c r="O22" s="17" t="b">
        <f aca="false">FALSE()</f>
        <v>0</v>
      </c>
      <c r="P22" s="17" t="b">
        <f aca="false">FALSE()</f>
        <v>0</v>
      </c>
      <c r="Q22" s="17" t="b">
        <f aca="false">FALSE()</f>
        <v>0</v>
      </c>
      <c r="R22" s="17" t="b">
        <f aca="false">FALSE()</f>
        <v>0</v>
      </c>
      <c r="S22" s="17" t="b">
        <f aca="false">FALSE()</f>
        <v>0</v>
      </c>
      <c r="T22" s="17" t="b">
        <f aca="false">FALSE()</f>
        <v>0</v>
      </c>
      <c r="U22" s="17" t="b">
        <f aca="false">FALSE()</f>
        <v>0</v>
      </c>
      <c r="V22" s="17" t="b">
        <f aca="false">FALSE()</f>
        <v>0</v>
      </c>
      <c r="W22" s="17" t="b">
        <f aca="false">FALSE()</f>
        <v>0</v>
      </c>
      <c r="X22" s="17" t="b">
        <f aca="false">FALSE()</f>
        <v>0</v>
      </c>
      <c r="Y22" s="17" t="b">
        <f aca="false">FALSE()</f>
        <v>0</v>
      </c>
      <c r="Z22" s="17" t="b">
        <f aca="false">FALSE()</f>
        <v>0</v>
      </c>
      <c r="AA22" s="17" t="b">
        <f aca="false">FALSE()</f>
        <v>0</v>
      </c>
      <c r="AB22" s="17" t="b">
        <f aca="false">FALSE()</f>
        <v>0</v>
      </c>
      <c r="AC22" s="17" t="b">
        <f aca="false">FALSE()</f>
        <v>0</v>
      </c>
      <c r="AD22" s="17" t="b">
        <f aca="false">FALSE()</f>
        <v>0</v>
      </c>
      <c r="AE22" s="17" t="b">
        <f aca="false">FALSE()</f>
        <v>0</v>
      </c>
      <c r="AF22" s="17" t="b">
        <f aca="false">FALSE()</f>
        <v>0</v>
      </c>
      <c r="AG22" s="17" t="b">
        <f aca="false">FALSE()</f>
        <v>0</v>
      </c>
      <c r="AH22" s="1"/>
      <c r="AI22" s="18" t="n">
        <f aca="false">IF($B22="","",$AP$3)</f>
        <v>30</v>
      </c>
      <c r="AJ22" s="18" t="n">
        <f aca="false">IF($B22="","",COUNTIF(C22:AG22,TRUE()))</f>
        <v>0</v>
      </c>
      <c r="AK22" s="18" t="n">
        <f aca="false">IF($B22="","",AI22-AJ22)</f>
        <v>30</v>
      </c>
      <c r="AL22" s="19" t="n">
        <f aca="false">IF($B22="","",AJ22/AI22)</f>
        <v>0</v>
      </c>
      <c r="AM22" s="20" t="n">
        <f aca="false">IF($B22="","",AJ22/AI22)</f>
        <v>0</v>
      </c>
      <c r="AN22" s="21" t="n">
        <f aca="false">IF($B22="",-1,AM22-ROW()/100000)</f>
        <v>-0.00022</v>
      </c>
      <c r="AO22" s="1"/>
    </row>
    <row r="23" customFormat="false" ht="18" hidden="false" customHeight="true" outlineLevel="0" collapsed="false">
      <c r="A23" s="1"/>
      <c r="B23" s="16" t="s">
        <v>41</v>
      </c>
      <c r="C23" s="17" t="b">
        <f aca="false">FALSE()</f>
        <v>0</v>
      </c>
      <c r="D23" s="17" t="b">
        <f aca="false">FALSE()</f>
        <v>0</v>
      </c>
      <c r="E23" s="17" t="b">
        <f aca="false">FALSE()</f>
        <v>0</v>
      </c>
      <c r="F23" s="17" t="b">
        <f aca="false">FALSE()</f>
        <v>0</v>
      </c>
      <c r="G23" s="17" t="b">
        <f aca="false">FALSE()</f>
        <v>0</v>
      </c>
      <c r="H23" s="17" t="b">
        <f aca="false">FALSE()</f>
        <v>0</v>
      </c>
      <c r="I23" s="17" t="b">
        <f aca="false">FALSE()</f>
        <v>0</v>
      </c>
      <c r="J23" s="17" t="b">
        <f aca="false">FALSE()</f>
        <v>0</v>
      </c>
      <c r="K23" s="17" t="b">
        <f aca="false">FALSE()</f>
        <v>0</v>
      </c>
      <c r="L23" s="17" t="b">
        <f aca="false">FALSE()</f>
        <v>0</v>
      </c>
      <c r="M23" s="17" t="b">
        <f aca="false">FALSE()</f>
        <v>0</v>
      </c>
      <c r="N23" s="17" t="b">
        <f aca="false">FALSE()</f>
        <v>0</v>
      </c>
      <c r="O23" s="17" t="b">
        <f aca="false">FALSE()</f>
        <v>0</v>
      </c>
      <c r="P23" s="17" t="b">
        <f aca="false">FALSE()</f>
        <v>0</v>
      </c>
      <c r="Q23" s="17" t="b">
        <f aca="false">FALSE()</f>
        <v>0</v>
      </c>
      <c r="R23" s="17" t="b">
        <f aca="false">FALSE()</f>
        <v>0</v>
      </c>
      <c r="S23" s="17" t="b">
        <f aca="false">FALSE()</f>
        <v>0</v>
      </c>
      <c r="T23" s="17" t="b">
        <f aca="false">FALSE()</f>
        <v>0</v>
      </c>
      <c r="U23" s="17" t="b">
        <f aca="false">FALSE()</f>
        <v>0</v>
      </c>
      <c r="V23" s="17" t="b">
        <f aca="false">FALSE()</f>
        <v>0</v>
      </c>
      <c r="W23" s="17" t="b">
        <f aca="false">FALSE()</f>
        <v>0</v>
      </c>
      <c r="X23" s="17" t="b">
        <f aca="false">FALSE()</f>
        <v>0</v>
      </c>
      <c r="Y23" s="17" t="b">
        <f aca="false">FALSE()</f>
        <v>0</v>
      </c>
      <c r="Z23" s="17" t="b">
        <f aca="false">FALSE()</f>
        <v>0</v>
      </c>
      <c r="AA23" s="17" t="b">
        <f aca="false">FALSE()</f>
        <v>0</v>
      </c>
      <c r="AB23" s="17" t="b">
        <f aca="false">FALSE()</f>
        <v>0</v>
      </c>
      <c r="AC23" s="17" t="b">
        <f aca="false">FALSE()</f>
        <v>0</v>
      </c>
      <c r="AD23" s="17" t="b">
        <f aca="false">FALSE()</f>
        <v>0</v>
      </c>
      <c r="AE23" s="17" t="b">
        <f aca="false">FALSE()</f>
        <v>0</v>
      </c>
      <c r="AF23" s="17" t="b">
        <f aca="false">FALSE()</f>
        <v>0</v>
      </c>
      <c r="AG23" s="17" t="b">
        <f aca="false">FALSE()</f>
        <v>0</v>
      </c>
      <c r="AH23" s="1"/>
      <c r="AI23" s="18" t="n">
        <f aca="false">IF($B23="","",$AP$3)</f>
        <v>30</v>
      </c>
      <c r="AJ23" s="18" t="n">
        <f aca="false">IF($B23="","",COUNTIF(C23:AG23,TRUE()))</f>
        <v>0</v>
      </c>
      <c r="AK23" s="18" t="n">
        <f aca="false">IF($B23="","",AI23-AJ23)</f>
        <v>30</v>
      </c>
      <c r="AL23" s="19" t="n">
        <f aca="false">IF($B23="","",AJ23/AI23)</f>
        <v>0</v>
      </c>
      <c r="AM23" s="20" t="n">
        <f aca="false">IF($B23="","",AJ23/AI23)</f>
        <v>0</v>
      </c>
      <c r="AN23" s="21" t="n">
        <f aca="false">IF($B23="",-1,AM23-ROW()/100000)</f>
        <v>-0.00023</v>
      </c>
      <c r="AO23" s="1"/>
    </row>
    <row r="24" customFormat="false" ht="18" hidden="false" customHeight="true" outlineLevel="0" collapsed="false">
      <c r="A24" s="1"/>
      <c r="B24" s="16" t="s">
        <v>42</v>
      </c>
      <c r="C24" s="17" t="b">
        <f aca="false">FALSE()</f>
        <v>0</v>
      </c>
      <c r="D24" s="17" t="b">
        <f aca="false">FALSE()</f>
        <v>0</v>
      </c>
      <c r="E24" s="17" t="b">
        <f aca="false">FALSE()</f>
        <v>0</v>
      </c>
      <c r="F24" s="17" t="b">
        <f aca="false">FALSE()</f>
        <v>0</v>
      </c>
      <c r="G24" s="17" t="b">
        <f aca="false">FALSE()</f>
        <v>0</v>
      </c>
      <c r="H24" s="17" t="b">
        <f aca="false">FALSE()</f>
        <v>0</v>
      </c>
      <c r="I24" s="17" t="b">
        <f aca="false">FALSE()</f>
        <v>0</v>
      </c>
      <c r="J24" s="17" t="b">
        <f aca="false">FALSE()</f>
        <v>0</v>
      </c>
      <c r="K24" s="17" t="b">
        <f aca="false">FALSE()</f>
        <v>0</v>
      </c>
      <c r="L24" s="17" t="b">
        <f aca="false">FALSE()</f>
        <v>0</v>
      </c>
      <c r="M24" s="17" t="b">
        <f aca="false">FALSE()</f>
        <v>0</v>
      </c>
      <c r="N24" s="17" t="b">
        <f aca="false">FALSE()</f>
        <v>0</v>
      </c>
      <c r="O24" s="17" t="b">
        <f aca="false">FALSE()</f>
        <v>0</v>
      </c>
      <c r="P24" s="17" t="b">
        <f aca="false">FALSE()</f>
        <v>0</v>
      </c>
      <c r="Q24" s="17" t="b">
        <f aca="false">FALSE()</f>
        <v>0</v>
      </c>
      <c r="R24" s="17" t="b">
        <f aca="false">FALSE()</f>
        <v>0</v>
      </c>
      <c r="S24" s="17" t="b">
        <f aca="false">FALSE()</f>
        <v>0</v>
      </c>
      <c r="T24" s="17" t="b">
        <f aca="false">FALSE()</f>
        <v>0</v>
      </c>
      <c r="U24" s="17" t="b">
        <f aca="false">FALSE()</f>
        <v>0</v>
      </c>
      <c r="V24" s="17" t="b">
        <f aca="false">FALSE()</f>
        <v>0</v>
      </c>
      <c r="W24" s="17" t="b">
        <f aca="false">FALSE()</f>
        <v>0</v>
      </c>
      <c r="X24" s="17" t="b">
        <f aca="false">FALSE()</f>
        <v>0</v>
      </c>
      <c r="Y24" s="17" t="b">
        <f aca="false">FALSE()</f>
        <v>0</v>
      </c>
      <c r="Z24" s="17" t="b">
        <f aca="false">FALSE()</f>
        <v>0</v>
      </c>
      <c r="AA24" s="17" t="b">
        <f aca="false">FALSE()</f>
        <v>0</v>
      </c>
      <c r="AB24" s="17" t="b">
        <f aca="false">FALSE()</f>
        <v>0</v>
      </c>
      <c r="AC24" s="17" t="b">
        <f aca="false">FALSE()</f>
        <v>0</v>
      </c>
      <c r="AD24" s="17" t="b">
        <f aca="false">FALSE()</f>
        <v>0</v>
      </c>
      <c r="AE24" s="17" t="b">
        <f aca="false">FALSE()</f>
        <v>0</v>
      </c>
      <c r="AF24" s="17" t="b">
        <f aca="false">FALSE()</f>
        <v>0</v>
      </c>
      <c r="AG24" s="17" t="b">
        <f aca="false">FALSE()</f>
        <v>0</v>
      </c>
      <c r="AH24" s="1"/>
      <c r="AI24" s="18" t="n">
        <f aca="false">IF($B24="","",$AP$3)</f>
        <v>30</v>
      </c>
      <c r="AJ24" s="18" t="n">
        <f aca="false">IF($B24="","",COUNTIF(C24:AG24,TRUE()))</f>
        <v>0</v>
      </c>
      <c r="AK24" s="18" t="n">
        <f aca="false">IF($B24="","",AI24-AJ24)</f>
        <v>30</v>
      </c>
      <c r="AL24" s="19" t="n">
        <f aca="false">IF($B24="","",AJ24/AI24)</f>
        <v>0</v>
      </c>
      <c r="AM24" s="20" t="n">
        <f aca="false">IF($B24="","",AJ24/AI24)</f>
        <v>0</v>
      </c>
      <c r="AN24" s="21" t="n">
        <f aca="false">IF($B24="",-1,AM24-ROW()/100000)</f>
        <v>-0.00024</v>
      </c>
      <c r="AO24" s="1"/>
    </row>
    <row r="25" customFormat="false" ht="18" hidden="false" customHeight="true" outlineLevel="0" collapsed="false">
      <c r="A25" s="1"/>
      <c r="B25" s="16" t="s">
        <v>43</v>
      </c>
      <c r="C25" s="17" t="b">
        <f aca="false">FALSE()</f>
        <v>0</v>
      </c>
      <c r="D25" s="17" t="b">
        <f aca="false">FALSE()</f>
        <v>0</v>
      </c>
      <c r="E25" s="17" t="b">
        <f aca="false">FALSE()</f>
        <v>0</v>
      </c>
      <c r="F25" s="17" t="b">
        <f aca="false">FALSE()</f>
        <v>0</v>
      </c>
      <c r="G25" s="17" t="b">
        <f aca="false">FALSE()</f>
        <v>0</v>
      </c>
      <c r="H25" s="17" t="b">
        <f aca="false">FALSE()</f>
        <v>0</v>
      </c>
      <c r="I25" s="17" t="b">
        <f aca="false">FALSE()</f>
        <v>0</v>
      </c>
      <c r="J25" s="17" t="b">
        <f aca="false">FALSE()</f>
        <v>0</v>
      </c>
      <c r="K25" s="17" t="b">
        <f aca="false">FALSE()</f>
        <v>0</v>
      </c>
      <c r="L25" s="17" t="b">
        <f aca="false">FALSE()</f>
        <v>0</v>
      </c>
      <c r="M25" s="17" t="b">
        <f aca="false">FALSE()</f>
        <v>0</v>
      </c>
      <c r="N25" s="17" t="b">
        <f aca="false">FALSE()</f>
        <v>0</v>
      </c>
      <c r="O25" s="17" t="b">
        <f aca="false">FALSE()</f>
        <v>0</v>
      </c>
      <c r="P25" s="17" t="b">
        <f aca="false">FALSE()</f>
        <v>0</v>
      </c>
      <c r="Q25" s="17" t="b">
        <f aca="false">FALSE()</f>
        <v>0</v>
      </c>
      <c r="R25" s="17" t="b">
        <f aca="false">FALSE()</f>
        <v>0</v>
      </c>
      <c r="S25" s="17" t="b">
        <f aca="false">FALSE()</f>
        <v>0</v>
      </c>
      <c r="T25" s="17" t="b">
        <f aca="false">FALSE()</f>
        <v>0</v>
      </c>
      <c r="U25" s="17" t="b">
        <f aca="false">FALSE()</f>
        <v>0</v>
      </c>
      <c r="V25" s="17" t="b">
        <f aca="false">FALSE()</f>
        <v>0</v>
      </c>
      <c r="W25" s="17" t="b">
        <f aca="false">FALSE()</f>
        <v>0</v>
      </c>
      <c r="X25" s="17" t="b">
        <f aca="false">FALSE()</f>
        <v>0</v>
      </c>
      <c r="Y25" s="17" t="b">
        <f aca="false">FALSE()</f>
        <v>0</v>
      </c>
      <c r="Z25" s="17" t="b">
        <f aca="false">FALSE()</f>
        <v>0</v>
      </c>
      <c r="AA25" s="17" t="b">
        <f aca="false">FALSE()</f>
        <v>0</v>
      </c>
      <c r="AB25" s="17" t="b">
        <f aca="false">FALSE()</f>
        <v>0</v>
      </c>
      <c r="AC25" s="17" t="b">
        <f aca="false">FALSE()</f>
        <v>0</v>
      </c>
      <c r="AD25" s="17" t="b">
        <f aca="false">FALSE()</f>
        <v>0</v>
      </c>
      <c r="AE25" s="17" t="b">
        <f aca="false">FALSE()</f>
        <v>0</v>
      </c>
      <c r="AF25" s="17" t="b">
        <f aca="false">FALSE()</f>
        <v>0</v>
      </c>
      <c r="AG25" s="17" t="b">
        <f aca="false">FALSE()</f>
        <v>0</v>
      </c>
      <c r="AH25" s="1"/>
      <c r="AI25" s="18" t="n">
        <f aca="false">IF($B25="","",$AP$3)</f>
        <v>30</v>
      </c>
      <c r="AJ25" s="18" t="n">
        <f aca="false">IF($B25="","",COUNTIF(C25:AG25,TRUE()))</f>
        <v>0</v>
      </c>
      <c r="AK25" s="18" t="n">
        <f aca="false">IF($B25="","",AI25-AJ25)</f>
        <v>30</v>
      </c>
      <c r="AL25" s="19" t="n">
        <f aca="false">IF($B25="","",AJ25/AI25)</f>
        <v>0</v>
      </c>
      <c r="AM25" s="20" t="n">
        <f aca="false">IF($B25="","",AJ25/AI25)</f>
        <v>0</v>
      </c>
      <c r="AN25" s="21" t="n">
        <f aca="false">IF($B25="",-1,AM25-ROW()/100000)</f>
        <v>-0.00025</v>
      </c>
      <c r="AO25" s="1"/>
    </row>
    <row r="26" customFormat="false" ht="18" hidden="false" customHeight="true" outlineLevel="0" collapsed="false">
      <c r="A26" s="1"/>
      <c r="B26" s="16" t="s">
        <v>44</v>
      </c>
      <c r="C26" s="17" t="b">
        <f aca="false">FALSE()</f>
        <v>0</v>
      </c>
      <c r="D26" s="17" t="b">
        <f aca="false">FALSE()</f>
        <v>0</v>
      </c>
      <c r="E26" s="17" t="b">
        <f aca="false">FALSE()</f>
        <v>0</v>
      </c>
      <c r="F26" s="17" t="b">
        <f aca="false">FALSE()</f>
        <v>0</v>
      </c>
      <c r="G26" s="17" t="b">
        <f aca="false">FALSE()</f>
        <v>0</v>
      </c>
      <c r="H26" s="17" t="b">
        <f aca="false">FALSE()</f>
        <v>0</v>
      </c>
      <c r="I26" s="17" t="b">
        <f aca="false">FALSE()</f>
        <v>0</v>
      </c>
      <c r="J26" s="17" t="b">
        <f aca="false">FALSE()</f>
        <v>0</v>
      </c>
      <c r="K26" s="17" t="b">
        <f aca="false">FALSE()</f>
        <v>0</v>
      </c>
      <c r="L26" s="17" t="b">
        <f aca="false">FALSE()</f>
        <v>0</v>
      </c>
      <c r="M26" s="17" t="b">
        <f aca="false">FALSE()</f>
        <v>0</v>
      </c>
      <c r="N26" s="17" t="b">
        <f aca="false">FALSE()</f>
        <v>0</v>
      </c>
      <c r="O26" s="17" t="b">
        <f aca="false">FALSE()</f>
        <v>0</v>
      </c>
      <c r="P26" s="17" t="b">
        <f aca="false">FALSE()</f>
        <v>0</v>
      </c>
      <c r="Q26" s="17" t="b">
        <f aca="false">FALSE()</f>
        <v>0</v>
      </c>
      <c r="R26" s="17" t="b">
        <f aca="false">FALSE()</f>
        <v>0</v>
      </c>
      <c r="S26" s="17" t="b">
        <f aca="false">FALSE()</f>
        <v>0</v>
      </c>
      <c r="T26" s="17" t="b">
        <f aca="false">FALSE()</f>
        <v>0</v>
      </c>
      <c r="U26" s="17" t="b">
        <f aca="false">FALSE()</f>
        <v>0</v>
      </c>
      <c r="V26" s="17" t="b">
        <f aca="false">FALSE()</f>
        <v>0</v>
      </c>
      <c r="W26" s="17" t="b">
        <f aca="false">FALSE()</f>
        <v>0</v>
      </c>
      <c r="X26" s="17" t="b">
        <f aca="false">FALSE()</f>
        <v>0</v>
      </c>
      <c r="Y26" s="17" t="b">
        <f aca="false">FALSE()</f>
        <v>0</v>
      </c>
      <c r="Z26" s="17" t="b">
        <f aca="false">FALSE()</f>
        <v>0</v>
      </c>
      <c r="AA26" s="17" t="b">
        <f aca="false">FALSE()</f>
        <v>0</v>
      </c>
      <c r="AB26" s="17" t="b">
        <f aca="false">FALSE()</f>
        <v>0</v>
      </c>
      <c r="AC26" s="17" t="b">
        <f aca="false">FALSE()</f>
        <v>0</v>
      </c>
      <c r="AD26" s="17" t="b">
        <f aca="false">FALSE()</f>
        <v>0</v>
      </c>
      <c r="AE26" s="17" t="b">
        <f aca="false">FALSE()</f>
        <v>0</v>
      </c>
      <c r="AF26" s="17" t="b">
        <f aca="false">FALSE()</f>
        <v>0</v>
      </c>
      <c r="AG26" s="17" t="b">
        <f aca="false">FALSE()</f>
        <v>0</v>
      </c>
      <c r="AH26" s="1"/>
      <c r="AI26" s="18" t="n">
        <f aca="false">IF($B26="","",$AP$3)</f>
        <v>30</v>
      </c>
      <c r="AJ26" s="18" t="n">
        <f aca="false">IF($B26="","",COUNTIF(C26:AG26,TRUE()))</f>
        <v>0</v>
      </c>
      <c r="AK26" s="18" t="n">
        <f aca="false">IF($B26="","",AI26-AJ26)</f>
        <v>30</v>
      </c>
      <c r="AL26" s="19" t="n">
        <f aca="false">IF($B26="","",AJ26/AI26)</f>
        <v>0</v>
      </c>
      <c r="AM26" s="20" t="n">
        <f aca="false">IF($B26="","",AJ26/AI26)</f>
        <v>0</v>
      </c>
      <c r="AN26" s="21" t="n">
        <f aca="false">IF($B26="",-1,AM26-ROW()/100000)</f>
        <v>-0.00026</v>
      </c>
      <c r="AO26" s="1"/>
    </row>
    <row r="27" customFormat="false" ht="18" hidden="false" customHeight="true" outlineLevel="0" collapsed="false">
      <c r="A27" s="1"/>
      <c r="B27" s="16"/>
      <c r="C27" s="17" t="b">
        <f aca="false">FALSE()</f>
        <v>0</v>
      </c>
      <c r="D27" s="17" t="b">
        <f aca="false">FALSE()</f>
        <v>0</v>
      </c>
      <c r="E27" s="17" t="b">
        <f aca="false">FALSE()</f>
        <v>0</v>
      </c>
      <c r="F27" s="17" t="b">
        <f aca="false">FALSE()</f>
        <v>0</v>
      </c>
      <c r="G27" s="17" t="b">
        <f aca="false">FALSE()</f>
        <v>0</v>
      </c>
      <c r="H27" s="17" t="b">
        <f aca="false">FALSE()</f>
        <v>0</v>
      </c>
      <c r="I27" s="17" t="b">
        <f aca="false">FALSE()</f>
        <v>0</v>
      </c>
      <c r="J27" s="17" t="b">
        <f aca="false">FALSE()</f>
        <v>0</v>
      </c>
      <c r="K27" s="17" t="b">
        <f aca="false">FALSE()</f>
        <v>0</v>
      </c>
      <c r="L27" s="17" t="b">
        <f aca="false">FALSE()</f>
        <v>0</v>
      </c>
      <c r="M27" s="17" t="b">
        <f aca="false">FALSE()</f>
        <v>0</v>
      </c>
      <c r="N27" s="17" t="b">
        <f aca="false">FALSE()</f>
        <v>0</v>
      </c>
      <c r="O27" s="17" t="b">
        <f aca="false">FALSE()</f>
        <v>0</v>
      </c>
      <c r="P27" s="17" t="b">
        <f aca="false">FALSE()</f>
        <v>0</v>
      </c>
      <c r="Q27" s="17" t="b">
        <f aca="false">FALSE()</f>
        <v>0</v>
      </c>
      <c r="R27" s="17" t="b">
        <f aca="false">FALSE()</f>
        <v>0</v>
      </c>
      <c r="S27" s="17" t="b">
        <f aca="false">FALSE()</f>
        <v>0</v>
      </c>
      <c r="T27" s="17" t="b">
        <f aca="false">FALSE()</f>
        <v>0</v>
      </c>
      <c r="U27" s="17" t="b">
        <f aca="false">FALSE()</f>
        <v>0</v>
      </c>
      <c r="V27" s="17" t="b">
        <f aca="false">FALSE()</f>
        <v>0</v>
      </c>
      <c r="W27" s="17" t="b">
        <f aca="false">FALSE()</f>
        <v>0</v>
      </c>
      <c r="X27" s="17" t="b">
        <f aca="false">FALSE()</f>
        <v>0</v>
      </c>
      <c r="Y27" s="17" t="b">
        <f aca="false">FALSE()</f>
        <v>0</v>
      </c>
      <c r="Z27" s="17" t="b">
        <f aca="false">FALSE()</f>
        <v>0</v>
      </c>
      <c r="AA27" s="17" t="b">
        <f aca="false">FALSE()</f>
        <v>0</v>
      </c>
      <c r="AB27" s="17" t="b">
        <f aca="false">FALSE()</f>
        <v>0</v>
      </c>
      <c r="AC27" s="17" t="b">
        <f aca="false">FALSE()</f>
        <v>0</v>
      </c>
      <c r="AD27" s="17" t="b">
        <f aca="false">FALSE()</f>
        <v>0</v>
      </c>
      <c r="AE27" s="17" t="b">
        <f aca="false">FALSE()</f>
        <v>0</v>
      </c>
      <c r="AF27" s="17" t="b">
        <f aca="false">FALSE()</f>
        <v>0</v>
      </c>
      <c r="AG27" s="17" t="b">
        <f aca="false">FALSE()</f>
        <v>0</v>
      </c>
      <c r="AH27" s="1"/>
      <c r="AI27" s="18" t="str">
        <f aca="false">IF($B27="","",$AP$3)</f>
        <v/>
      </c>
      <c r="AJ27" s="18" t="str">
        <f aca="false">IF($B27="","",COUNTIF(C27:AG27,TRUE()))</f>
        <v/>
      </c>
      <c r="AK27" s="18" t="str">
        <f aca="false">IF($B27="","",AI27-AJ27)</f>
        <v/>
      </c>
      <c r="AL27" s="19" t="str">
        <f aca="false">IF($B27="","",AJ27/AI27)</f>
        <v/>
      </c>
      <c r="AM27" s="20" t="str">
        <f aca="false">IF($B27="","",AJ27/AI27)</f>
        <v/>
      </c>
      <c r="AN27" s="1" t="n">
        <f aca="false">IF($B27="",-1,AM27-ROW()/100000)</f>
        <v>-1</v>
      </c>
      <c r="AO27" s="1"/>
    </row>
    <row r="28" customFormat="false" ht="18" hidden="false" customHeight="true" outlineLevel="0" collapsed="false">
      <c r="A28" s="1"/>
      <c r="B28" s="16"/>
      <c r="C28" s="17" t="b">
        <f aca="false">FALSE()</f>
        <v>0</v>
      </c>
      <c r="D28" s="17" t="b">
        <f aca="false">FALSE()</f>
        <v>0</v>
      </c>
      <c r="E28" s="17" t="b">
        <f aca="false">FALSE()</f>
        <v>0</v>
      </c>
      <c r="F28" s="17" t="b">
        <f aca="false">FALSE()</f>
        <v>0</v>
      </c>
      <c r="G28" s="17" t="b">
        <f aca="false">FALSE()</f>
        <v>0</v>
      </c>
      <c r="H28" s="17" t="b">
        <f aca="false">FALSE()</f>
        <v>0</v>
      </c>
      <c r="I28" s="17" t="b">
        <f aca="false">FALSE()</f>
        <v>0</v>
      </c>
      <c r="J28" s="17" t="b">
        <f aca="false">FALSE()</f>
        <v>0</v>
      </c>
      <c r="K28" s="17" t="b">
        <f aca="false">FALSE()</f>
        <v>0</v>
      </c>
      <c r="L28" s="17" t="b">
        <f aca="false">FALSE()</f>
        <v>0</v>
      </c>
      <c r="M28" s="17" t="b">
        <f aca="false">FALSE()</f>
        <v>0</v>
      </c>
      <c r="N28" s="17" t="b">
        <f aca="false">FALSE()</f>
        <v>0</v>
      </c>
      <c r="O28" s="17" t="b">
        <f aca="false">FALSE()</f>
        <v>0</v>
      </c>
      <c r="P28" s="17" t="b">
        <f aca="false">FALSE()</f>
        <v>0</v>
      </c>
      <c r="Q28" s="17" t="b">
        <f aca="false">FALSE()</f>
        <v>0</v>
      </c>
      <c r="R28" s="17" t="b">
        <f aca="false">FALSE()</f>
        <v>0</v>
      </c>
      <c r="S28" s="17" t="b">
        <f aca="false">FALSE()</f>
        <v>0</v>
      </c>
      <c r="T28" s="17" t="b">
        <f aca="false">FALSE()</f>
        <v>0</v>
      </c>
      <c r="U28" s="17" t="b">
        <f aca="false">FALSE()</f>
        <v>0</v>
      </c>
      <c r="V28" s="17" t="b">
        <f aca="false">FALSE()</f>
        <v>0</v>
      </c>
      <c r="W28" s="17" t="b">
        <f aca="false">FALSE()</f>
        <v>0</v>
      </c>
      <c r="X28" s="17" t="b">
        <f aca="false">FALSE()</f>
        <v>0</v>
      </c>
      <c r="Y28" s="17" t="b">
        <f aca="false">FALSE()</f>
        <v>0</v>
      </c>
      <c r="Z28" s="17" t="b">
        <f aca="false">FALSE()</f>
        <v>0</v>
      </c>
      <c r="AA28" s="17" t="b">
        <f aca="false">FALSE()</f>
        <v>0</v>
      </c>
      <c r="AB28" s="17" t="b">
        <f aca="false">FALSE()</f>
        <v>0</v>
      </c>
      <c r="AC28" s="17" t="b">
        <f aca="false">FALSE()</f>
        <v>0</v>
      </c>
      <c r="AD28" s="17" t="b">
        <f aca="false">FALSE()</f>
        <v>0</v>
      </c>
      <c r="AE28" s="17" t="b">
        <f aca="false">FALSE()</f>
        <v>0</v>
      </c>
      <c r="AF28" s="17" t="b">
        <f aca="false">FALSE()</f>
        <v>0</v>
      </c>
      <c r="AG28" s="17" t="b">
        <f aca="false">FALSE()</f>
        <v>0</v>
      </c>
      <c r="AH28" s="1"/>
      <c r="AI28" s="18" t="str">
        <f aca="false">IF($B28="","",$AP$3)</f>
        <v/>
      </c>
      <c r="AJ28" s="18" t="str">
        <f aca="false">IF($B28="","",COUNTIF(C28:AG28,TRUE()))</f>
        <v/>
      </c>
      <c r="AK28" s="18" t="str">
        <f aca="false">IF($B28="","",AI28-AJ28)</f>
        <v/>
      </c>
      <c r="AL28" s="19" t="str">
        <f aca="false">IF($B28="","",AJ28/AI28)</f>
        <v/>
      </c>
      <c r="AM28" s="20" t="str">
        <f aca="false">IF($B28="","",AJ28/AI28)</f>
        <v/>
      </c>
      <c r="AN28" s="1" t="n">
        <f aca="false">IF($B28="",-1,AM28-ROW()/100000)</f>
        <v>-1</v>
      </c>
      <c r="AO28" s="1"/>
    </row>
    <row r="29" customFormat="false" ht="15" hidden="false" customHeight="false" outlineLevel="0" collapsed="false">
      <c r="A29" s="1"/>
      <c r="B29" s="22" t="s">
        <v>45</v>
      </c>
      <c r="C29" s="23" t="n">
        <f aca="false">IF(OR(C$16="",SUMPRODUCT(--(LEN($B$17:$B$28)&gt;0))=0),"",SUMPRODUCT(($B$17:$B$28&lt;&gt;"")*(C$17:C$28=TRUE()))/SUMPRODUCT(--(LEN($B$17:$B$28)&gt;0)))</f>
        <v>0</v>
      </c>
      <c r="D29" s="23" t="n">
        <f aca="false">IF(OR(D$16="",SUMPRODUCT(--(LEN($B$17:$B$28)&gt;0))=0),"",SUMPRODUCT(($B$17:$B$28&lt;&gt;"")*(D$17:D$28=TRUE()))/SUMPRODUCT(--(LEN($B$17:$B$28)&gt;0)))</f>
        <v>0</v>
      </c>
      <c r="E29" s="23" t="n">
        <f aca="false">IF(OR(E$16="",SUMPRODUCT(--(LEN($B$17:$B$28)&gt;0))=0),"",SUMPRODUCT(($B$17:$B$28&lt;&gt;"")*(E$17:E$28=TRUE()))/SUMPRODUCT(--(LEN($B$17:$B$28)&gt;0)))</f>
        <v>0</v>
      </c>
      <c r="F29" s="23" t="n">
        <f aca="false">IF(OR(F$16="",SUMPRODUCT(--(LEN($B$17:$B$28)&gt;0))=0),"",SUMPRODUCT(($B$17:$B$28&lt;&gt;"")*(F$17:F$28=TRUE()))/SUMPRODUCT(--(LEN($B$17:$B$28)&gt;0)))</f>
        <v>0</v>
      </c>
      <c r="G29" s="23" t="n">
        <f aca="false">IF(OR(G$16="",SUMPRODUCT(--(LEN($B$17:$B$28)&gt;0))=0),"",SUMPRODUCT(($B$17:$B$28&lt;&gt;"")*(G$17:G$28=TRUE()))/SUMPRODUCT(--(LEN($B$17:$B$28)&gt;0)))</f>
        <v>0</v>
      </c>
      <c r="H29" s="23" t="n">
        <f aca="false">IF(OR(H$16="",SUMPRODUCT(--(LEN($B$17:$B$28)&gt;0))=0),"",SUMPRODUCT(($B$17:$B$28&lt;&gt;"")*(H$17:H$28=TRUE()))/SUMPRODUCT(--(LEN($B$17:$B$28)&gt;0)))</f>
        <v>0</v>
      </c>
      <c r="I29" s="23" t="n">
        <f aca="false">IF(OR(I$16="",SUMPRODUCT(--(LEN($B$17:$B$28)&gt;0))=0),"",SUMPRODUCT(($B$17:$B$28&lt;&gt;"")*(I$17:I$28=TRUE()))/SUMPRODUCT(--(LEN($B$17:$B$28)&gt;0)))</f>
        <v>0</v>
      </c>
      <c r="J29" s="23" t="n">
        <f aca="false">IF(OR(J$16="",SUMPRODUCT(--(LEN($B$17:$B$28)&gt;0))=0),"",SUMPRODUCT(($B$17:$B$28&lt;&gt;"")*(J$17:J$28=TRUE()))/SUMPRODUCT(--(LEN($B$17:$B$28)&gt;0)))</f>
        <v>0</v>
      </c>
      <c r="K29" s="23" t="n">
        <f aca="false">IF(OR(K$16="",SUMPRODUCT(--(LEN($B$17:$B$28)&gt;0))=0),"",SUMPRODUCT(($B$17:$B$28&lt;&gt;"")*(K$17:K$28=TRUE()))/SUMPRODUCT(--(LEN($B$17:$B$28)&gt;0)))</f>
        <v>0</v>
      </c>
      <c r="L29" s="23" t="n">
        <f aca="false">IF(OR(L$16="",SUMPRODUCT(--(LEN($B$17:$B$28)&gt;0))=0),"",SUMPRODUCT(($B$17:$B$28&lt;&gt;"")*(L$17:L$28=TRUE()))/SUMPRODUCT(--(LEN($B$17:$B$28)&gt;0)))</f>
        <v>0</v>
      </c>
      <c r="M29" s="23" t="n">
        <f aca="false">IF(OR(M$16="",SUMPRODUCT(--(LEN($B$17:$B$28)&gt;0))=0),"",SUMPRODUCT(($B$17:$B$28&lt;&gt;"")*(M$17:M$28=TRUE()))/SUMPRODUCT(--(LEN($B$17:$B$28)&gt;0)))</f>
        <v>0</v>
      </c>
      <c r="N29" s="23" t="n">
        <f aca="false">IF(OR(N$16="",SUMPRODUCT(--(LEN($B$17:$B$28)&gt;0))=0),"",SUMPRODUCT(($B$17:$B$28&lt;&gt;"")*(N$17:N$28=TRUE()))/SUMPRODUCT(--(LEN($B$17:$B$28)&gt;0)))</f>
        <v>0</v>
      </c>
      <c r="O29" s="23" t="n">
        <f aca="false">IF(OR(O$16="",SUMPRODUCT(--(LEN($B$17:$B$28)&gt;0))=0),"",SUMPRODUCT(($B$17:$B$28&lt;&gt;"")*(O$17:O$28=TRUE()))/SUMPRODUCT(--(LEN($B$17:$B$28)&gt;0)))</f>
        <v>0</v>
      </c>
      <c r="P29" s="23" t="n">
        <f aca="false">IF(OR(P$16="",SUMPRODUCT(--(LEN($B$17:$B$28)&gt;0))=0),"",SUMPRODUCT(($B$17:$B$28&lt;&gt;"")*(P$17:P$28=TRUE()))/SUMPRODUCT(--(LEN($B$17:$B$28)&gt;0)))</f>
        <v>0</v>
      </c>
      <c r="Q29" s="23" t="n">
        <f aca="false">IF(OR(Q$16="",SUMPRODUCT(--(LEN($B$17:$B$28)&gt;0))=0),"",SUMPRODUCT(($B$17:$B$28&lt;&gt;"")*(Q$17:Q$28=TRUE()))/SUMPRODUCT(--(LEN($B$17:$B$28)&gt;0)))</f>
        <v>0</v>
      </c>
      <c r="R29" s="23" t="n">
        <f aca="false">IF(OR(R$16="",SUMPRODUCT(--(LEN($B$17:$B$28)&gt;0))=0),"",SUMPRODUCT(($B$17:$B$28&lt;&gt;"")*(R$17:R$28=TRUE()))/SUMPRODUCT(--(LEN($B$17:$B$28)&gt;0)))</f>
        <v>0</v>
      </c>
      <c r="S29" s="23" t="n">
        <f aca="false">IF(OR(S$16="",SUMPRODUCT(--(LEN($B$17:$B$28)&gt;0))=0),"",SUMPRODUCT(($B$17:$B$28&lt;&gt;"")*(S$17:S$28=TRUE()))/SUMPRODUCT(--(LEN($B$17:$B$28)&gt;0)))</f>
        <v>0</v>
      </c>
      <c r="T29" s="23" t="n">
        <f aca="false">IF(OR(T$16="",SUMPRODUCT(--(LEN($B$17:$B$28)&gt;0))=0),"",SUMPRODUCT(($B$17:$B$28&lt;&gt;"")*(T$17:T$28=TRUE()))/SUMPRODUCT(--(LEN($B$17:$B$28)&gt;0)))</f>
        <v>0</v>
      </c>
      <c r="U29" s="23" t="n">
        <f aca="false">IF(OR(U$16="",SUMPRODUCT(--(LEN($B$17:$B$28)&gt;0))=0),"",SUMPRODUCT(($B$17:$B$28&lt;&gt;"")*(U$17:U$28=TRUE()))/SUMPRODUCT(--(LEN($B$17:$B$28)&gt;0)))</f>
        <v>0</v>
      </c>
      <c r="V29" s="23" t="n">
        <f aca="false">IF(OR(V$16="",SUMPRODUCT(--(LEN($B$17:$B$28)&gt;0))=0),"",SUMPRODUCT(($B$17:$B$28&lt;&gt;"")*(V$17:V$28=TRUE()))/SUMPRODUCT(--(LEN($B$17:$B$28)&gt;0)))</f>
        <v>0</v>
      </c>
      <c r="W29" s="23" t="n">
        <f aca="false">IF(OR(W$16="",SUMPRODUCT(--(LEN($B$17:$B$28)&gt;0))=0),"",SUMPRODUCT(($B$17:$B$28&lt;&gt;"")*(W$17:W$28=TRUE()))/SUMPRODUCT(--(LEN($B$17:$B$28)&gt;0)))</f>
        <v>0</v>
      </c>
      <c r="X29" s="23" t="n">
        <f aca="false">IF(OR(X$16="",SUMPRODUCT(--(LEN($B$17:$B$28)&gt;0))=0),"",SUMPRODUCT(($B$17:$B$28&lt;&gt;"")*(X$17:X$28=TRUE()))/SUMPRODUCT(--(LEN($B$17:$B$28)&gt;0)))</f>
        <v>0</v>
      </c>
      <c r="Y29" s="23" t="n">
        <f aca="false">IF(OR(Y$16="",SUMPRODUCT(--(LEN($B$17:$B$28)&gt;0))=0),"",SUMPRODUCT(($B$17:$B$28&lt;&gt;"")*(Y$17:Y$28=TRUE()))/SUMPRODUCT(--(LEN($B$17:$B$28)&gt;0)))</f>
        <v>0</v>
      </c>
      <c r="Z29" s="23" t="n">
        <f aca="false">IF(OR(Z$16="",SUMPRODUCT(--(LEN($B$17:$B$28)&gt;0))=0),"",SUMPRODUCT(($B$17:$B$28&lt;&gt;"")*(Z$17:Z$28=TRUE()))/SUMPRODUCT(--(LEN($B$17:$B$28)&gt;0)))</f>
        <v>0</v>
      </c>
      <c r="AA29" s="23" t="n">
        <f aca="false">IF(OR(AA$16="",SUMPRODUCT(--(LEN($B$17:$B$28)&gt;0))=0),"",SUMPRODUCT(($B$17:$B$28&lt;&gt;"")*(AA$17:AA$28=TRUE()))/SUMPRODUCT(--(LEN($B$17:$B$28)&gt;0)))</f>
        <v>0</v>
      </c>
      <c r="AB29" s="23" t="n">
        <f aca="false">IF(OR(AB$16="",SUMPRODUCT(--(LEN($B$17:$B$28)&gt;0))=0),"",SUMPRODUCT(($B$17:$B$28&lt;&gt;"")*(AB$17:AB$28=TRUE()))/SUMPRODUCT(--(LEN($B$17:$B$28)&gt;0)))</f>
        <v>0</v>
      </c>
      <c r="AC29" s="23" t="n">
        <f aca="false">IF(OR(AC$16="",SUMPRODUCT(--(LEN($B$17:$B$28)&gt;0))=0),"",SUMPRODUCT(($B$17:$B$28&lt;&gt;"")*(AC$17:AC$28=TRUE()))/SUMPRODUCT(--(LEN($B$17:$B$28)&gt;0)))</f>
        <v>0</v>
      </c>
      <c r="AD29" s="23" t="n">
        <f aca="false">IF(OR(AD$16="",SUMPRODUCT(--(LEN($B$17:$B$28)&gt;0))=0),"",SUMPRODUCT(($B$17:$B$28&lt;&gt;"")*(AD$17:AD$28=TRUE()))/SUMPRODUCT(--(LEN($B$17:$B$28)&gt;0)))</f>
        <v>0</v>
      </c>
      <c r="AE29" s="23" t="n">
        <f aca="false">IF(OR(AE$16="",SUMPRODUCT(--(LEN($B$17:$B$28)&gt;0))=0),"",SUMPRODUCT(($B$17:$B$28&lt;&gt;"")*(AE$17:AE$28=TRUE()))/SUMPRODUCT(--(LEN($B$17:$B$28)&gt;0)))</f>
        <v>0</v>
      </c>
      <c r="AF29" s="23" t="n">
        <f aca="false">IF(OR(AF$16="",SUMPRODUCT(--(LEN($B$17:$B$28)&gt;0))=0),"",SUMPRODUCT(($B$17:$B$28&lt;&gt;"")*(AF$17:AF$28=TRUE()))/SUMPRODUCT(--(LEN($B$17:$B$28)&gt;0)))</f>
        <v>0</v>
      </c>
      <c r="AG29" s="23" t="str">
        <f aca="false">IF(OR(AG$16="",SUMPRODUCT(--(LEN($B$17:$B$28)&gt;0))=0),"",SUMPRODUCT(($B$17:$B$28&lt;&gt;"")*(AG$17:AG$28=TRUE()))/SUMPRODUCT(--(LEN($B$17:$B$28)&gt;0)))</f>
        <v/>
      </c>
      <c r="AH29" s="1"/>
      <c r="AI29" s="1"/>
      <c r="AJ29" s="1"/>
      <c r="AK29" s="1"/>
      <c r="AL29" s="1"/>
      <c r="AM29" s="1"/>
      <c r="AN29" s="1"/>
      <c r="AO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</row>
    <row r="31" customFormat="false" ht="15" hidden="false" customHeight="false" outlineLevel="0" collapsed="false">
      <c r="A31" s="1"/>
      <c r="B31" s="24"/>
      <c r="C31" s="12" t="s">
        <v>46</v>
      </c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"/>
      <c r="AI31" s="25" t="s">
        <v>47</v>
      </c>
      <c r="AJ31" s="25"/>
      <c r="AK31" s="25"/>
      <c r="AL31" s="25"/>
      <c r="AM31" s="25"/>
      <c r="AN31" s="1"/>
      <c r="AO31" s="1"/>
    </row>
    <row r="32" customFormat="false" ht="15.75" hidden="false" customHeight="true" outlineLevel="0" collapsed="false">
      <c r="A32" s="1"/>
      <c r="B32" s="7" t="s">
        <v>48</v>
      </c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1"/>
      <c r="AI32" s="27" t="n">
        <v>1</v>
      </c>
      <c r="AJ32" s="28" t="str">
        <f aca="false">IF(LARGE($AN$17:$AN$28,1)&lt;0,"",INDEX($B$17:$B$28,MATCH(LARGE($AN$17:$AN$28,1),$AN$17:$AN$28,0)))</f>
        <v/>
      </c>
      <c r="AK32" s="28"/>
      <c r="AL32" s="28"/>
      <c r="AM32" s="29" t="str">
        <f aca="false">IF(AJ32="","",INDEX($AM$17:$AM$28,MATCH(LARGE($AN$17:$AN$28,1),$AN$17:$AN$28,0)))</f>
        <v/>
      </c>
      <c r="AN32" s="1"/>
      <c r="AO32" s="1"/>
    </row>
    <row r="33" customFormat="false" ht="15.75" hidden="false" customHeight="true" outlineLevel="0" collapsed="false">
      <c r="A33" s="1"/>
      <c r="B33" s="7" t="s">
        <v>49</v>
      </c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1"/>
      <c r="AI33" s="27" t="n">
        <v>2</v>
      </c>
      <c r="AJ33" s="28" t="str">
        <f aca="false">IF(LARGE($AN$17:$AN$28,2)&lt;0,"",INDEX($B$17:$B$28,MATCH(LARGE($AN$17:$AN$28,2),$AN$17:$AN$28,0)))</f>
        <v/>
      </c>
      <c r="AK33" s="28"/>
      <c r="AL33" s="28"/>
      <c r="AM33" s="29" t="str">
        <f aca="false">IF(AJ33="","",INDEX($AM$17:$AM$28,MATCH(LARGE($AN$17:$AN$28,2),$AN$17:$AN$28,0)))</f>
        <v/>
      </c>
      <c r="AN33" s="1"/>
      <c r="AO33" s="1"/>
    </row>
    <row r="34" customFormat="false" ht="15.75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27" t="n">
        <v>3</v>
      </c>
      <c r="AJ34" s="28" t="str">
        <f aca="false">IF(LARGE($AN$17:$AN$28,3)&lt;0,"",INDEX($B$17:$B$28,MATCH(LARGE($AN$17:$AN$28,3),$AN$17:$AN$28,0)))</f>
        <v/>
      </c>
      <c r="AK34" s="28"/>
      <c r="AL34" s="28"/>
      <c r="AM34" s="29" t="str">
        <f aca="false">IF(AJ34="","",INDEX($AM$17:$AM$28,MATCH(LARGE($AN$17:$AN$28,3),$AN$17:$AN$28,0)))</f>
        <v/>
      </c>
      <c r="AN34" s="1"/>
      <c r="AO34" s="1"/>
    </row>
    <row r="35" customFormat="false" ht="15.75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27" t="n">
        <v>4</v>
      </c>
      <c r="AJ35" s="28" t="str">
        <f aca="false">IF(LARGE($AN$17:$AN$28,4)&lt;0,"",INDEX($B$17:$B$28,MATCH(LARGE($AN$17:$AN$28,4),$AN$17:$AN$28,0)))</f>
        <v/>
      </c>
      <c r="AK35" s="28"/>
      <c r="AL35" s="28"/>
      <c r="AM35" s="29" t="str">
        <f aca="false">IF(AJ35="","",INDEX($AM$17:$AM$28,MATCH(LARGE($AN$17:$AN$28,4),$AN$17:$AN$28,0)))</f>
        <v/>
      </c>
      <c r="AN35" s="1"/>
      <c r="AO35" s="1"/>
    </row>
    <row r="36" customFormat="false" ht="15.75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27" t="n">
        <v>5</v>
      </c>
      <c r="AJ36" s="28" t="str">
        <f aca="false">IF(LARGE($AN$17:$AN$28,5)&lt;0,"",INDEX($B$17:$B$28,MATCH(LARGE($AN$17:$AN$28,5),$AN$17:$AN$28,0)))</f>
        <v/>
      </c>
      <c r="AK36" s="28"/>
      <c r="AL36" s="28"/>
      <c r="AM36" s="29" t="str">
        <f aca="false">IF(AJ36="","",INDEX($AM$17:$AM$28,MATCH(LARGE($AN$17:$AN$28,5),$AN$17:$AN$28,0)))</f>
        <v/>
      </c>
      <c r="AN36" s="1"/>
      <c r="AO36" s="1"/>
    </row>
    <row r="37" customFormat="false" ht="15.75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27" t="n">
        <v>6</v>
      </c>
      <c r="AJ37" s="28" t="str">
        <f aca="false">IF(LARGE($AN$17:$AN$28,6)&lt;0,"",INDEX($B$17:$B$28,MATCH(LARGE($AN$17:$AN$28,6),$AN$17:$AN$28,0)))</f>
        <v/>
      </c>
      <c r="AK37" s="28"/>
      <c r="AL37" s="28"/>
      <c r="AM37" s="29" t="str">
        <f aca="false">IF(AJ37="","",INDEX($AM$17:$AM$28,MATCH(LARGE($AN$17:$AN$28,6),$AN$17:$AN$28,0)))</f>
        <v/>
      </c>
      <c r="AN37" s="1"/>
      <c r="AO37" s="1"/>
    </row>
    <row r="38" customFormat="false" ht="15.75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27" t="n">
        <v>7</v>
      </c>
      <c r="AJ38" s="28" t="str">
        <f aca="false">IF(LARGE($AN$17:$AN$28,7)&lt;0,"",INDEX($B$17:$B$28,MATCH(LARGE($AN$17:$AN$28,7),$AN$17:$AN$28,0)))</f>
        <v/>
      </c>
      <c r="AK38" s="28"/>
      <c r="AL38" s="28"/>
      <c r="AM38" s="29" t="str">
        <f aca="false">IF(AJ38="","",INDEX($AM$17:$AM$28,MATCH(LARGE($AN$17:$AN$28,7),$AN$17:$AN$28,0)))</f>
        <v/>
      </c>
      <c r="AN38" s="1"/>
      <c r="AO38" s="1"/>
    </row>
    <row r="39" customFormat="false" ht="15.75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27" t="n">
        <v>8</v>
      </c>
      <c r="AJ39" s="28" t="str">
        <f aca="false">IF(LARGE($AN$17:$AN$28,8)&lt;0,"",INDEX($B$17:$B$28,MATCH(LARGE($AN$17:$AN$28,8),$AN$17:$AN$28,0)))</f>
        <v/>
      </c>
      <c r="AK39" s="28"/>
      <c r="AL39" s="28"/>
      <c r="AM39" s="29" t="str">
        <f aca="false">IF(AJ39="","",INDEX($AM$17:$AM$28,MATCH(LARGE($AN$17:$AN$28,8),$AN$17:$AN$28,0)))</f>
        <v/>
      </c>
      <c r="AN39" s="1"/>
      <c r="AO39" s="1"/>
    </row>
    <row r="40" customFormat="false" ht="15.75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27" t="n">
        <v>9</v>
      </c>
      <c r="AJ40" s="28" t="str">
        <f aca="false">IF(LARGE($AN$17:$AN$28,9)&lt;0,"",INDEX($B$17:$B$28,MATCH(LARGE($AN$17:$AN$28,9),$AN$17:$AN$28,0)))</f>
        <v/>
      </c>
      <c r="AK40" s="28"/>
      <c r="AL40" s="28"/>
      <c r="AM40" s="29" t="str">
        <f aca="false">IF(AJ40="","",INDEX($AM$17:$AM$28,MATCH(LARGE($AN$17:$AN$28,9),$AN$17:$AN$28,0)))</f>
        <v/>
      </c>
      <c r="AN40" s="1"/>
      <c r="AO40" s="1"/>
    </row>
    <row r="41" customFormat="false" ht="15.75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27" t="n">
        <v>10</v>
      </c>
      <c r="AJ41" s="28" t="str">
        <f aca="false">IF(LARGE($AN$17:$AN$28,10)&lt;0,"",INDEX($B$17:$B$28,MATCH(LARGE($AN$17:$AN$28,10),$AN$17:$AN$28,0)))</f>
        <v/>
      </c>
      <c r="AK41" s="28"/>
      <c r="AL41" s="28"/>
      <c r="AM41" s="29" t="str">
        <f aca="false">IF(AJ41="","",INDEX($AM$17:$AM$28,MATCH(LARGE($AN$17:$AN$28,10),$AN$17:$AN$28,0)))</f>
        <v/>
      </c>
      <c r="AN41" s="1"/>
      <c r="AO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</row>
    <row r="48" customFormat="false" ht="15" hidden="true" customHeight="false" outlineLevel="0" collapsed="false">
      <c r="A48" s="1"/>
      <c r="B48" s="1"/>
      <c r="C48" s="1" t="str">
        <f aca="false">IF(C$16="","",C$15)</f>
        <v>Tu</v>
      </c>
      <c r="D48" s="1" t="str">
        <f aca="false">IF(D$16="","",D$15)</f>
        <v>We</v>
      </c>
      <c r="E48" s="1" t="str">
        <f aca="false">IF(E$16="","",E$15)</f>
        <v>Th</v>
      </c>
      <c r="F48" s="1" t="str">
        <f aca="false">IF(F$16="","",F$15)</f>
        <v>Fr</v>
      </c>
      <c r="G48" s="1" t="str">
        <f aca="false">IF(G$16="","",G$15)</f>
        <v>Sa</v>
      </c>
      <c r="H48" s="1" t="str">
        <f aca="false">IF(H$16="","",H$15)</f>
        <v>Su</v>
      </c>
      <c r="I48" s="1" t="str">
        <f aca="false">IF(I$16="","",I$15)</f>
        <v>Mo</v>
      </c>
      <c r="J48" s="1" t="str">
        <f aca="false">IF(J$16="","",J$15)</f>
        <v>Tu</v>
      </c>
      <c r="K48" s="1" t="str">
        <f aca="false">IF(K$16="","",K$15)</f>
        <v>We</v>
      </c>
      <c r="L48" s="1" t="str">
        <f aca="false">IF(L$16="","",L$15)</f>
        <v>Th</v>
      </c>
      <c r="M48" s="1" t="str">
        <f aca="false">IF(M$16="","",M$15)</f>
        <v>Fr</v>
      </c>
      <c r="N48" s="1" t="str">
        <f aca="false">IF(N$16="","",N$15)</f>
        <v>Sa</v>
      </c>
      <c r="O48" s="1" t="str">
        <f aca="false">IF(O$16="","",O$15)</f>
        <v>Su</v>
      </c>
      <c r="P48" s="1" t="str">
        <f aca="false">IF(P$16="","",P$15)</f>
        <v>Mo</v>
      </c>
      <c r="Q48" s="1" t="str">
        <f aca="false">IF(Q$16="","",Q$15)</f>
        <v>Tu</v>
      </c>
      <c r="R48" s="1" t="str">
        <f aca="false">IF(R$16="","",R$15)</f>
        <v>We</v>
      </c>
      <c r="S48" s="1" t="str">
        <f aca="false">IF(S$16="","",S$15)</f>
        <v>Th</v>
      </c>
      <c r="T48" s="1" t="str">
        <f aca="false">IF(T$16="","",T$15)</f>
        <v>Fr</v>
      </c>
      <c r="U48" s="1" t="str">
        <f aca="false">IF(U$16="","",U$15)</f>
        <v>Sa</v>
      </c>
      <c r="V48" s="1" t="str">
        <f aca="false">IF(V$16="","",V$15)</f>
        <v>Su</v>
      </c>
      <c r="W48" s="1" t="str">
        <f aca="false">IF(W$16="","",W$15)</f>
        <v>Mo</v>
      </c>
      <c r="X48" s="1" t="str">
        <f aca="false">IF(X$16="","",X$15)</f>
        <v>Tu</v>
      </c>
      <c r="Y48" s="1" t="str">
        <f aca="false">IF(Y$16="","",Y$15)</f>
        <v>We</v>
      </c>
      <c r="Z48" s="1" t="str">
        <f aca="false">IF(Z$16="","",Z$15)</f>
        <v>Th</v>
      </c>
      <c r="AA48" s="1" t="str">
        <f aca="false">IF(AA$16="","",AA$15)</f>
        <v>Fr</v>
      </c>
      <c r="AB48" s="1" t="str">
        <f aca="false">IF(AB$16="","",AB$15)</f>
        <v>Sa</v>
      </c>
      <c r="AC48" s="1" t="str">
        <f aca="false">IF(AC$16="","",AC$15)</f>
        <v>Su</v>
      </c>
      <c r="AD48" s="1" t="str">
        <f aca="false">IF(AD$16="","",AD$15)</f>
        <v>Mo</v>
      </c>
      <c r="AE48" s="1" t="str">
        <f aca="false">IF(AE$16="","",AE$15)</f>
        <v>Tu</v>
      </c>
      <c r="AF48" s="1" t="str">
        <f aca="false">IF(AF$16="","",AF$15)</f>
        <v>We</v>
      </c>
      <c r="AG48" s="1" t="str">
        <f aca="false">IF(AG$16="","",AG$15)</f>
        <v/>
      </c>
      <c r="AH48" s="1"/>
      <c r="AI48" s="1"/>
      <c r="AJ48" s="1"/>
      <c r="AK48" s="1"/>
      <c r="AL48" s="1"/>
      <c r="AM48" s="1"/>
      <c r="AN48" s="1"/>
      <c r="AO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</row>
  </sheetData>
  <mergeCells count="31">
    <mergeCell ref="B2:B3"/>
    <mergeCell ref="C2:Z2"/>
    <mergeCell ref="AA2:AG2"/>
    <mergeCell ref="AI2:AJ2"/>
    <mergeCell ref="AK2:AM2"/>
    <mergeCell ref="AI3:AJ4"/>
    <mergeCell ref="AK3:AM4"/>
    <mergeCell ref="AI5:AJ5"/>
    <mergeCell ref="AI6:AJ7"/>
    <mergeCell ref="AI8:AJ8"/>
    <mergeCell ref="AI9:AJ10"/>
    <mergeCell ref="B10:B12"/>
    <mergeCell ref="B14:B16"/>
    <mergeCell ref="C14:I14"/>
    <mergeCell ref="J14:P14"/>
    <mergeCell ref="Q14:W14"/>
    <mergeCell ref="X14:AD14"/>
    <mergeCell ref="AE14:AG14"/>
    <mergeCell ref="AI14:AM15"/>
    <mergeCell ref="C31:AG31"/>
    <mergeCell ref="AI31:AM31"/>
    <mergeCell ref="AJ32:AL32"/>
    <mergeCell ref="AJ33:AL33"/>
    <mergeCell ref="AJ34:AL34"/>
    <mergeCell ref="AJ35:AL35"/>
    <mergeCell ref="AJ36:AL36"/>
    <mergeCell ref="AJ37:AL37"/>
    <mergeCell ref="AJ38:AL38"/>
    <mergeCell ref="AJ39:AL39"/>
    <mergeCell ref="AJ40:AL40"/>
    <mergeCell ref="AJ41:AL41"/>
  </mergeCells>
  <conditionalFormatting sqref="C17:AG28">
    <cfRule type="expression" priority="2" aboveAverage="0" equalAverage="0" bottom="0" percent="0" rank="0" text="" dxfId="0">
      <formula>C$16=""</formula>
    </cfRule>
    <cfRule type="expression" priority="3" aboveAverage="0" equalAverage="0" bottom="0" percent="0" rank="0" text="" dxfId="1">
      <formula>C17=1</formula>
    </cfRule>
    <cfRule type="expression" priority="4" aboveAverage="0" equalAverage="0" bottom="0" percent="0" rank="0" text="" dxfId="2">
      <formula>C17=0</formula>
    </cfRule>
  </conditionalFormatting>
  <conditionalFormatting sqref="C32:AG33">
    <cfRule type="expression" priority="5" aboveAverage="0" equalAverage="0" bottom="0" percent="0" rank="0" text="" dxfId="3">
      <formula>C$16=""</formula>
    </cfRule>
  </conditionalFormatting>
  <conditionalFormatting sqref="AL17:AL28">
    <cfRule type="dataBar" priority="6">
      <dataBar showValue="1" minLength="10" maxLength="90">
        <cfvo type="num" val="0"/>
        <cfvo type="num" val="1"/>
        <color rgb="FF1F2433"/>
      </dataBar>
      <extLst>
        <ext xmlns:x14="http://schemas.microsoft.com/office/spreadsheetml/2009/9/main" uri="{B025F937-C7B1-47D3-B67F-A62EFF666E3E}">
          <x14:id>{FCAEA6E0-3B10-46BF-A58E-F733AD88F298}</x14:id>
        </ext>
      </extLst>
    </cfRule>
  </conditionalFormatting>
  <dataValidations count="4">
    <dataValidation allowBlank="false" errorStyle="stop" operator="between" showDropDown="false" showErrorMessage="false" showInputMessage="false" sqref="B9" type="list">
      <formula1>"January,February,March,April,May,June,July,August,September,October,November,December"</formula1>
      <formula2>0</formula2>
    </dataValidation>
    <dataValidation allowBlank="true" errorStyle="stop" operator="between" showDropDown="false" showErrorMessage="false" showInputMessage="false" sqref="C17:AG28" type="list">
      <formula1>"TRUE,FALSE"</formula1>
      <formula2>0</formula2>
    </dataValidation>
    <dataValidation allowBlank="true" errorStyle="stop" operator="between" showDropDown="false" showErrorMessage="false" showInputMessage="false" sqref="C32:AG32" type="list">
      <formula1>"1,2,3,4,5,6,7,8,9,10"</formula1>
      <formula2>0</formula2>
    </dataValidation>
    <dataValidation allowBlank="true" errorStyle="stop" operator="between" showDropDown="false" showErrorMessage="false" showInputMessage="false" sqref="C33:AG33" type="list">
      <formula1>"0,1,2,3,4,5,6,7,8,9,10,11,12"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CAEA6E0-3B10-46BF-A58E-F733AD88F298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1F2433"/>
              <x14:axisColor rgb="FF000000"/>
            </x14:dataBar>
          </x14:cfRule>
          <xm:sqref>AL17:AL28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433"/>
    <pageSetUpPr fitToPage="false"/>
  </sheetPr>
  <dimension ref="A1:AQ4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0" topLeftCell="C1" activePane="topRight" state="frozen"/>
      <selection pane="topLeft" activeCell="A1" activeCellId="0" sqref="A1"/>
      <selection pane="top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3" min="3" style="0" width="3.9"/>
    <col collapsed="false" customWidth="true" hidden="false" outlineLevel="0" max="34" min="34" style="0" width="2"/>
    <col collapsed="false" customWidth="true" hidden="false" outlineLevel="0" max="36" min="35" style="0" width="8"/>
    <col collapsed="false" customWidth="true" hidden="false" outlineLevel="0" max="37" min="37" style="0" width="7"/>
    <col collapsed="false" customWidth="true" hidden="false" outlineLevel="0" max="38" min="38" style="0" width="14"/>
    <col collapsed="false" customWidth="true" hidden="false" outlineLevel="0" max="39" min="39" style="0" width="8"/>
    <col collapsed="false" customWidth="true" hidden="true" outlineLevel="0" max="43" min="40" style="0" width="13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Q1" s="2" t="s">
        <v>0</v>
      </c>
    </row>
    <row r="2" customFormat="false" ht="21.75" hidden="false" customHeight="true" outlineLevel="0" collapsed="false">
      <c r="A2" s="1"/>
      <c r="B2" s="3" t="s">
        <v>1</v>
      </c>
      <c r="C2" s="4" t="s">
        <v>2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 t="s">
        <v>3</v>
      </c>
      <c r="AB2" s="4"/>
      <c r="AC2" s="4"/>
      <c r="AD2" s="4"/>
      <c r="AE2" s="4"/>
      <c r="AF2" s="4"/>
      <c r="AG2" s="4"/>
      <c r="AH2" s="1"/>
      <c r="AI2" s="4" t="s">
        <v>4</v>
      </c>
      <c r="AJ2" s="4"/>
      <c r="AK2" s="4" t="s">
        <v>5</v>
      </c>
      <c r="AL2" s="4"/>
      <c r="AM2" s="4"/>
      <c r="AN2" s="1"/>
      <c r="AO2" s="1" t="s">
        <v>6</v>
      </c>
      <c r="AP2" s="2" t="n">
        <f aca="false">MATCH($B$9,$AQ$1:$AQ$12,0)</f>
        <v>10</v>
      </c>
      <c r="AQ2" s="2" t="s">
        <v>7</v>
      </c>
    </row>
    <row r="3" customFormat="false" ht="15.75" hidden="false" customHeight="true" outlineLevel="0" collapsed="false">
      <c r="A3" s="1"/>
      <c r="B3" s="3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5" t="n">
        <f aca="false">SUMPRODUCT(--(LEN($B$17:$B$28)&gt;0))*$AP$3</f>
        <v>310</v>
      </c>
      <c r="AJ3" s="5"/>
      <c r="AK3" s="6" t="n">
        <f aca="false">IF(AI3=0,0,AI6/AI3)</f>
        <v>0</v>
      </c>
      <c r="AL3" s="6"/>
      <c r="AM3" s="6"/>
      <c r="AN3" s="1"/>
      <c r="AO3" s="1" t="s">
        <v>8</v>
      </c>
      <c r="AP3" s="2" t="n">
        <f aca="false">DAY(DATE($B$7,$AP$2+1,0))</f>
        <v>31</v>
      </c>
      <c r="AQ3" s="2" t="s">
        <v>9</v>
      </c>
    </row>
    <row r="4" customFormat="false" ht="15.7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5"/>
      <c r="AJ4" s="5"/>
      <c r="AK4" s="6"/>
      <c r="AL4" s="6"/>
      <c r="AM4" s="6"/>
      <c r="AN4" s="1"/>
      <c r="AO4" s="1"/>
      <c r="AQ4" s="2" t="s">
        <v>10</v>
      </c>
    </row>
    <row r="5" customFormat="false" ht="15.75" hidden="false" customHeight="true" outlineLevel="0" collapsed="false">
      <c r="A5" s="1"/>
      <c r="B5" s="7" t="s">
        <v>11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4" t="s">
        <v>12</v>
      </c>
      <c r="AJ5" s="4"/>
      <c r="AK5" s="1"/>
      <c r="AL5" s="1"/>
      <c r="AM5" s="1"/>
      <c r="AN5" s="1"/>
      <c r="AO5" s="1" t="s">
        <v>12</v>
      </c>
      <c r="AP5" s="2" t="n">
        <f aca="false">AI6</f>
        <v>0</v>
      </c>
      <c r="AQ5" s="2" t="s">
        <v>13</v>
      </c>
    </row>
    <row r="6" customFormat="false" ht="15.75" hidden="false" customHeight="true" outlineLevel="0" collapsed="false">
      <c r="A6" s="1"/>
      <c r="B6" s="8" t="s">
        <v>14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5" t="n">
        <f aca="false">SUMPRODUCT(($B$17:$B$28&lt;&gt;"")*($C$17:$AG$28=TRUE()))</f>
        <v>0</v>
      </c>
      <c r="AJ6" s="5"/>
      <c r="AK6" s="1"/>
      <c r="AL6" s="1"/>
      <c r="AM6" s="1"/>
      <c r="AN6" s="1"/>
      <c r="AO6" s="1" t="s">
        <v>15</v>
      </c>
      <c r="AP6" s="2" t="n">
        <f aca="false">AI9</f>
        <v>310</v>
      </c>
      <c r="AQ6" s="2" t="s">
        <v>16</v>
      </c>
    </row>
    <row r="7" customFormat="false" ht="15.75" hidden="false" customHeight="true" outlineLevel="0" collapsed="false">
      <c r="A7" s="1"/>
      <c r="B7" s="30" t="n">
        <f aca="false">January!$B$7</f>
        <v>2026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5"/>
      <c r="AJ7" s="5"/>
      <c r="AK7" s="1"/>
      <c r="AL7" s="1"/>
      <c r="AM7" s="1"/>
      <c r="AN7" s="1"/>
      <c r="AO7" s="1"/>
      <c r="AQ7" s="2" t="s">
        <v>17</v>
      </c>
    </row>
    <row r="8" customFormat="false" ht="15.75" hidden="false" customHeight="true" outlineLevel="0" collapsed="false">
      <c r="A8" s="1"/>
      <c r="B8" s="8" t="s">
        <v>18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4" t="s">
        <v>15</v>
      </c>
      <c r="AJ8" s="4"/>
      <c r="AK8" s="1"/>
      <c r="AL8" s="1"/>
      <c r="AM8" s="1"/>
      <c r="AN8" s="1"/>
      <c r="AO8" s="1" t="s">
        <v>19</v>
      </c>
      <c r="AP8" s="2" t="n">
        <f aca="false">IF(OR(COUNTIF(C$16:I$16,"&gt;0")=0,SUMPRODUCT(--(LEN($B$17:$B$28)&gt;0))=0),0,SUMPRODUCT(($B$17:$B$28&lt;&gt;"")*(C$17:I$28=TRUE()))/(SUMPRODUCT(--(LEN($B$17:$B$28)&gt;0))*COUNTIF(C$16:I$16,"&gt;0")))</f>
        <v>0</v>
      </c>
      <c r="AQ8" s="2" t="s">
        <v>20</v>
      </c>
    </row>
    <row r="9" customFormat="false" ht="15.75" hidden="false" customHeight="true" outlineLevel="0" collapsed="false">
      <c r="A9" s="1"/>
      <c r="B9" s="9" t="s">
        <v>25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5" t="n">
        <f aca="false">AI3-AI6</f>
        <v>310</v>
      </c>
      <c r="AJ9" s="5"/>
      <c r="AK9" s="1"/>
      <c r="AL9" s="1"/>
      <c r="AM9" s="1"/>
      <c r="AN9" s="1"/>
      <c r="AO9" s="1" t="s">
        <v>21</v>
      </c>
      <c r="AP9" s="2" t="n">
        <f aca="false">IF(OR(COUNTIF(J$16:P$16,"&gt;0")=0,SUMPRODUCT(--(LEN($B$17:$B$28)&gt;0))=0),0,SUMPRODUCT(($B$17:$B$28&lt;&gt;"")*(J$17:P$28=TRUE()))/(SUMPRODUCT(--(LEN($B$17:$B$28)&gt;0))*COUNTIF(J$16:P$16,"&gt;0")))</f>
        <v>0</v>
      </c>
      <c r="AQ9" s="2" t="s">
        <v>22</v>
      </c>
    </row>
    <row r="10" customFormat="false" ht="15.75" hidden="false" customHeight="true" outlineLevel="0" collapsed="false">
      <c r="A10" s="1"/>
      <c r="B10" s="10" t="s">
        <v>23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5"/>
      <c r="AJ10" s="5"/>
      <c r="AK10" s="1"/>
      <c r="AL10" s="1"/>
      <c r="AM10" s="1"/>
      <c r="AN10" s="1"/>
      <c r="AO10" s="1" t="s">
        <v>24</v>
      </c>
      <c r="AP10" s="2" t="n">
        <f aca="false">IF(OR(COUNTIF(Q$16:W$16,"&gt;0")=0,SUMPRODUCT(--(LEN($B$17:$B$28)&gt;0))=0),0,SUMPRODUCT(($B$17:$B$28&lt;&gt;"")*(Q$17:W$28=TRUE()))/(SUMPRODUCT(--(LEN($B$17:$B$28)&gt;0))*COUNTIF(Q$16:W$16,"&gt;0")))</f>
        <v>0</v>
      </c>
      <c r="AQ10" s="2" t="s">
        <v>25</v>
      </c>
    </row>
    <row r="11" customFormat="false" ht="15.75" hidden="false" customHeight="true" outlineLevel="0" collapsed="false">
      <c r="A11" s="1"/>
      <c r="B11" s="10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 t="s">
        <v>26</v>
      </c>
      <c r="AP11" s="2" t="n">
        <f aca="false">IF(OR(COUNTIF(X$16:AD$16,"&gt;0")=0,SUMPRODUCT(--(LEN($B$17:$B$28)&gt;0))=0),0,SUMPRODUCT(($B$17:$B$28&lt;&gt;"")*(X$17:AD$28=TRUE()))/(SUMPRODUCT(--(LEN($B$17:$B$28)&gt;0))*COUNTIF(X$16:AD$16,"&gt;0")))</f>
        <v>0</v>
      </c>
      <c r="AQ11" s="2" t="s">
        <v>27</v>
      </c>
    </row>
    <row r="12" customFormat="false" ht="15.75" hidden="false" customHeight="true" outlineLevel="0" collapsed="false">
      <c r="A12" s="1"/>
      <c r="B12" s="10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 t="s">
        <v>28</v>
      </c>
      <c r="AP12" s="2" t="n">
        <f aca="false">IF(OR(COUNTIF(AE$16:AG$16,"&gt;0")=0,SUMPRODUCT(--(LEN($B$17:$B$28)&gt;0))=0),0,SUMPRODUCT(($B$17:$B$28&lt;&gt;"")*(AE$17:AG$28=TRUE()))/(SUMPRODUCT(--(LEN($B$17:$B$28)&gt;0))*COUNTIF(AE$16:AG$16,"&gt;0")))</f>
        <v>0</v>
      </c>
      <c r="AQ12" s="2" t="s">
        <v>29</v>
      </c>
    </row>
    <row r="13" customFormat="false" ht="15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</row>
    <row r="14" customFormat="false" ht="15" hidden="false" customHeight="false" outlineLevel="0" collapsed="false">
      <c r="A14" s="1"/>
      <c r="B14" s="11" t="s">
        <v>30</v>
      </c>
      <c r="C14" s="12" t="s">
        <v>19</v>
      </c>
      <c r="D14" s="12"/>
      <c r="E14" s="12"/>
      <c r="F14" s="12"/>
      <c r="G14" s="12"/>
      <c r="H14" s="12"/>
      <c r="I14" s="12"/>
      <c r="J14" s="12" t="s">
        <v>21</v>
      </c>
      <c r="K14" s="12"/>
      <c r="L14" s="12"/>
      <c r="M14" s="12"/>
      <c r="N14" s="12"/>
      <c r="O14" s="12"/>
      <c r="P14" s="12"/>
      <c r="Q14" s="12" t="s">
        <v>24</v>
      </c>
      <c r="R14" s="12"/>
      <c r="S14" s="12"/>
      <c r="T14" s="12"/>
      <c r="U14" s="12"/>
      <c r="V14" s="12"/>
      <c r="W14" s="12"/>
      <c r="X14" s="12" t="s">
        <v>26</v>
      </c>
      <c r="Y14" s="12"/>
      <c r="Z14" s="12"/>
      <c r="AA14" s="12"/>
      <c r="AB14" s="12"/>
      <c r="AC14" s="12"/>
      <c r="AD14" s="12"/>
      <c r="AE14" s="12" t="s">
        <v>28</v>
      </c>
      <c r="AF14" s="12"/>
      <c r="AG14" s="12"/>
      <c r="AH14" s="1"/>
      <c r="AI14" s="13" t="s">
        <v>31</v>
      </c>
      <c r="AJ14" s="13"/>
      <c r="AK14" s="13"/>
      <c r="AL14" s="13"/>
      <c r="AM14" s="13"/>
      <c r="AN14" s="1"/>
      <c r="AO14" s="1"/>
    </row>
    <row r="15" customFormat="false" ht="15" hidden="false" customHeight="false" outlineLevel="0" collapsed="false">
      <c r="A15" s="1"/>
      <c r="B15" s="11"/>
      <c r="C15" s="14" t="str">
        <f aca="false">IF(1&gt;$AP$3,"",CHOOSE(WEEKDAY(DATE($B$7,$AP$2,1)),"Su","Mo","Tu","We","Th","Fr","Sa"))</f>
        <v>Th</v>
      </c>
      <c r="D15" s="14" t="str">
        <f aca="false">IF(2&gt;$AP$3,"",CHOOSE(WEEKDAY(DATE($B$7,$AP$2,2)),"Su","Mo","Tu","We","Th","Fr","Sa"))</f>
        <v>Fr</v>
      </c>
      <c r="E15" s="14" t="str">
        <f aca="false">IF(3&gt;$AP$3,"",CHOOSE(WEEKDAY(DATE($B$7,$AP$2,3)),"Su","Mo","Tu","We","Th","Fr","Sa"))</f>
        <v>Sa</v>
      </c>
      <c r="F15" s="14" t="str">
        <f aca="false">IF(4&gt;$AP$3,"",CHOOSE(WEEKDAY(DATE($B$7,$AP$2,4)),"Su","Mo","Tu","We","Th","Fr","Sa"))</f>
        <v>Su</v>
      </c>
      <c r="G15" s="14" t="str">
        <f aca="false">IF(5&gt;$AP$3,"",CHOOSE(WEEKDAY(DATE($B$7,$AP$2,5)),"Su","Mo","Tu","We","Th","Fr","Sa"))</f>
        <v>Mo</v>
      </c>
      <c r="H15" s="14" t="str">
        <f aca="false">IF(6&gt;$AP$3,"",CHOOSE(WEEKDAY(DATE($B$7,$AP$2,6)),"Su","Mo","Tu","We","Th","Fr","Sa"))</f>
        <v>Tu</v>
      </c>
      <c r="I15" s="14" t="str">
        <f aca="false">IF(7&gt;$AP$3,"",CHOOSE(WEEKDAY(DATE($B$7,$AP$2,7)),"Su","Mo","Tu","We","Th","Fr","Sa"))</f>
        <v>We</v>
      </c>
      <c r="J15" s="14" t="str">
        <f aca="false">IF(8&gt;$AP$3,"",CHOOSE(WEEKDAY(DATE($B$7,$AP$2,8)),"Su","Mo","Tu","We","Th","Fr","Sa"))</f>
        <v>Th</v>
      </c>
      <c r="K15" s="14" t="str">
        <f aca="false">IF(9&gt;$AP$3,"",CHOOSE(WEEKDAY(DATE($B$7,$AP$2,9)),"Su","Mo","Tu","We","Th","Fr","Sa"))</f>
        <v>Fr</v>
      </c>
      <c r="L15" s="14" t="str">
        <f aca="false">IF(10&gt;$AP$3,"",CHOOSE(WEEKDAY(DATE($B$7,$AP$2,10)),"Su","Mo","Tu","We","Th","Fr","Sa"))</f>
        <v>Sa</v>
      </c>
      <c r="M15" s="14" t="str">
        <f aca="false">IF(11&gt;$AP$3,"",CHOOSE(WEEKDAY(DATE($B$7,$AP$2,11)),"Su","Mo","Tu","We","Th","Fr","Sa"))</f>
        <v>Su</v>
      </c>
      <c r="N15" s="14" t="str">
        <f aca="false">IF(12&gt;$AP$3,"",CHOOSE(WEEKDAY(DATE($B$7,$AP$2,12)),"Su","Mo","Tu","We","Th","Fr","Sa"))</f>
        <v>Mo</v>
      </c>
      <c r="O15" s="14" t="str">
        <f aca="false">IF(13&gt;$AP$3,"",CHOOSE(WEEKDAY(DATE($B$7,$AP$2,13)),"Su","Mo","Tu","We","Th","Fr","Sa"))</f>
        <v>Tu</v>
      </c>
      <c r="P15" s="14" t="str">
        <f aca="false">IF(14&gt;$AP$3,"",CHOOSE(WEEKDAY(DATE($B$7,$AP$2,14)),"Su","Mo","Tu","We","Th","Fr","Sa"))</f>
        <v>We</v>
      </c>
      <c r="Q15" s="14" t="str">
        <f aca="false">IF(15&gt;$AP$3,"",CHOOSE(WEEKDAY(DATE($B$7,$AP$2,15)),"Su","Mo","Tu","We","Th","Fr","Sa"))</f>
        <v>Th</v>
      </c>
      <c r="R15" s="14" t="str">
        <f aca="false">IF(16&gt;$AP$3,"",CHOOSE(WEEKDAY(DATE($B$7,$AP$2,16)),"Su","Mo","Tu","We","Th","Fr","Sa"))</f>
        <v>Fr</v>
      </c>
      <c r="S15" s="14" t="str">
        <f aca="false">IF(17&gt;$AP$3,"",CHOOSE(WEEKDAY(DATE($B$7,$AP$2,17)),"Su","Mo","Tu","We","Th","Fr","Sa"))</f>
        <v>Sa</v>
      </c>
      <c r="T15" s="14" t="str">
        <f aca="false">IF(18&gt;$AP$3,"",CHOOSE(WEEKDAY(DATE($B$7,$AP$2,18)),"Su","Mo","Tu","We","Th","Fr","Sa"))</f>
        <v>Su</v>
      </c>
      <c r="U15" s="14" t="str">
        <f aca="false">IF(19&gt;$AP$3,"",CHOOSE(WEEKDAY(DATE($B$7,$AP$2,19)),"Su","Mo","Tu","We","Th","Fr","Sa"))</f>
        <v>Mo</v>
      </c>
      <c r="V15" s="14" t="str">
        <f aca="false">IF(20&gt;$AP$3,"",CHOOSE(WEEKDAY(DATE($B$7,$AP$2,20)),"Su","Mo","Tu","We","Th","Fr","Sa"))</f>
        <v>Tu</v>
      </c>
      <c r="W15" s="14" t="str">
        <f aca="false">IF(21&gt;$AP$3,"",CHOOSE(WEEKDAY(DATE($B$7,$AP$2,21)),"Su","Mo","Tu","We","Th","Fr","Sa"))</f>
        <v>We</v>
      </c>
      <c r="X15" s="14" t="str">
        <f aca="false">IF(22&gt;$AP$3,"",CHOOSE(WEEKDAY(DATE($B$7,$AP$2,22)),"Su","Mo","Tu","We","Th","Fr","Sa"))</f>
        <v>Th</v>
      </c>
      <c r="Y15" s="14" t="str">
        <f aca="false">IF(23&gt;$AP$3,"",CHOOSE(WEEKDAY(DATE($B$7,$AP$2,23)),"Su","Mo","Tu","We","Th","Fr","Sa"))</f>
        <v>Fr</v>
      </c>
      <c r="Z15" s="14" t="str">
        <f aca="false">IF(24&gt;$AP$3,"",CHOOSE(WEEKDAY(DATE($B$7,$AP$2,24)),"Su","Mo","Tu","We","Th","Fr","Sa"))</f>
        <v>Sa</v>
      </c>
      <c r="AA15" s="14" t="str">
        <f aca="false">IF(25&gt;$AP$3,"",CHOOSE(WEEKDAY(DATE($B$7,$AP$2,25)),"Su","Mo","Tu","We","Th","Fr","Sa"))</f>
        <v>Su</v>
      </c>
      <c r="AB15" s="14" t="str">
        <f aca="false">IF(26&gt;$AP$3,"",CHOOSE(WEEKDAY(DATE($B$7,$AP$2,26)),"Su","Mo","Tu","We","Th","Fr","Sa"))</f>
        <v>Mo</v>
      </c>
      <c r="AC15" s="14" t="str">
        <f aca="false">IF(27&gt;$AP$3,"",CHOOSE(WEEKDAY(DATE($B$7,$AP$2,27)),"Su","Mo","Tu","We","Th","Fr","Sa"))</f>
        <v>Tu</v>
      </c>
      <c r="AD15" s="14" t="str">
        <f aca="false">IF(28&gt;$AP$3,"",CHOOSE(WEEKDAY(DATE($B$7,$AP$2,28)),"Su","Mo","Tu","We","Th","Fr","Sa"))</f>
        <v>We</v>
      </c>
      <c r="AE15" s="14" t="str">
        <f aca="false">IF(29&gt;$AP$3,"",CHOOSE(WEEKDAY(DATE($B$7,$AP$2,29)),"Su","Mo","Tu","We","Th","Fr","Sa"))</f>
        <v>Th</v>
      </c>
      <c r="AF15" s="14" t="str">
        <f aca="false">IF(30&gt;$AP$3,"",CHOOSE(WEEKDAY(DATE($B$7,$AP$2,30)),"Su","Mo","Tu","We","Th","Fr","Sa"))</f>
        <v>Fr</v>
      </c>
      <c r="AG15" s="14" t="str">
        <f aca="false">IF(31&gt;$AP$3,"",CHOOSE(WEEKDAY(DATE($B$7,$AP$2,31)),"Su","Mo","Tu","We","Th","Fr","Sa"))</f>
        <v>Sa</v>
      </c>
      <c r="AH15" s="1"/>
      <c r="AI15" s="13"/>
      <c r="AJ15" s="13"/>
      <c r="AK15" s="13"/>
      <c r="AL15" s="13"/>
      <c r="AM15" s="13"/>
      <c r="AN15" s="1"/>
      <c r="AO15" s="1"/>
    </row>
    <row r="16" customFormat="false" ht="15" hidden="false" customHeight="false" outlineLevel="0" collapsed="false">
      <c r="A16" s="1"/>
      <c r="B16" s="11"/>
      <c r="C16" s="14" t="n">
        <f aca="false">IF(1&gt;$AP$3,"",1)</f>
        <v>1</v>
      </c>
      <c r="D16" s="14" t="n">
        <f aca="false">IF(2&gt;$AP$3,"",2)</f>
        <v>2</v>
      </c>
      <c r="E16" s="14" t="n">
        <f aca="false">IF(3&gt;$AP$3,"",3)</f>
        <v>3</v>
      </c>
      <c r="F16" s="14" t="n">
        <f aca="false">IF(4&gt;$AP$3,"",4)</f>
        <v>4</v>
      </c>
      <c r="G16" s="14" t="n">
        <f aca="false">IF(5&gt;$AP$3,"",5)</f>
        <v>5</v>
      </c>
      <c r="H16" s="14" t="n">
        <f aca="false">IF(6&gt;$AP$3,"",6)</f>
        <v>6</v>
      </c>
      <c r="I16" s="14" t="n">
        <f aca="false">IF(7&gt;$AP$3,"",7)</f>
        <v>7</v>
      </c>
      <c r="J16" s="14" t="n">
        <f aca="false">IF(8&gt;$AP$3,"",8)</f>
        <v>8</v>
      </c>
      <c r="K16" s="14" t="n">
        <f aca="false">IF(9&gt;$AP$3,"",9)</f>
        <v>9</v>
      </c>
      <c r="L16" s="14" t="n">
        <f aca="false">IF(10&gt;$AP$3,"",10)</f>
        <v>10</v>
      </c>
      <c r="M16" s="14" t="n">
        <f aca="false">IF(11&gt;$AP$3,"",11)</f>
        <v>11</v>
      </c>
      <c r="N16" s="14" t="n">
        <f aca="false">IF(12&gt;$AP$3,"",12)</f>
        <v>12</v>
      </c>
      <c r="O16" s="14" t="n">
        <f aca="false">IF(13&gt;$AP$3,"",13)</f>
        <v>13</v>
      </c>
      <c r="P16" s="14" t="n">
        <f aca="false">IF(14&gt;$AP$3,"",14)</f>
        <v>14</v>
      </c>
      <c r="Q16" s="14" t="n">
        <f aca="false">IF(15&gt;$AP$3,"",15)</f>
        <v>15</v>
      </c>
      <c r="R16" s="14" t="n">
        <f aca="false">IF(16&gt;$AP$3,"",16)</f>
        <v>16</v>
      </c>
      <c r="S16" s="14" t="n">
        <f aca="false">IF(17&gt;$AP$3,"",17)</f>
        <v>17</v>
      </c>
      <c r="T16" s="14" t="n">
        <f aca="false">IF(18&gt;$AP$3,"",18)</f>
        <v>18</v>
      </c>
      <c r="U16" s="14" t="n">
        <f aca="false">IF(19&gt;$AP$3,"",19)</f>
        <v>19</v>
      </c>
      <c r="V16" s="14" t="n">
        <f aca="false">IF(20&gt;$AP$3,"",20)</f>
        <v>20</v>
      </c>
      <c r="W16" s="14" t="n">
        <f aca="false">IF(21&gt;$AP$3,"",21)</f>
        <v>21</v>
      </c>
      <c r="X16" s="14" t="n">
        <f aca="false">IF(22&gt;$AP$3,"",22)</f>
        <v>22</v>
      </c>
      <c r="Y16" s="14" t="n">
        <f aca="false">IF(23&gt;$AP$3,"",23)</f>
        <v>23</v>
      </c>
      <c r="Z16" s="14" t="n">
        <f aca="false">IF(24&gt;$AP$3,"",24)</f>
        <v>24</v>
      </c>
      <c r="AA16" s="14" t="n">
        <f aca="false">IF(25&gt;$AP$3,"",25)</f>
        <v>25</v>
      </c>
      <c r="AB16" s="14" t="n">
        <f aca="false">IF(26&gt;$AP$3,"",26)</f>
        <v>26</v>
      </c>
      <c r="AC16" s="14" t="n">
        <f aca="false">IF(27&gt;$AP$3,"",27)</f>
        <v>27</v>
      </c>
      <c r="AD16" s="14" t="n">
        <f aca="false">IF(28&gt;$AP$3,"",28)</f>
        <v>28</v>
      </c>
      <c r="AE16" s="14" t="n">
        <f aca="false">IF(29&gt;$AP$3,"",29)</f>
        <v>29</v>
      </c>
      <c r="AF16" s="14" t="n">
        <f aca="false">IF(30&gt;$AP$3,"",30)</f>
        <v>30</v>
      </c>
      <c r="AG16" s="14" t="n">
        <f aca="false">IF(31&gt;$AP$3,"",31)</f>
        <v>31</v>
      </c>
      <c r="AH16" s="1"/>
      <c r="AI16" s="15" t="s">
        <v>4</v>
      </c>
      <c r="AJ16" s="15" t="s">
        <v>32</v>
      </c>
      <c r="AK16" s="15" t="s">
        <v>15</v>
      </c>
      <c r="AL16" s="15" t="s">
        <v>33</v>
      </c>
      <c r="AM16" s="15" t="s">
        <v>34</v>
      </c>
      <c r="AN16" s="1"/>
      <c r="AO16" s="1"/>
    </row>
    <row r="17" customFormat="false" ht="18" hidden="false" customHeight="true" outlineLevel="0" collapsed="false">
      <c r="A17" s="1"/>
      <c r="B17" s="16" t="s">
        <v>35</v>
      </c>
      <c r="C17" s="17" t="b">
        <f aca="false">FALSE()</f>
        <v>0</v>
      </c>
      <c r="D17" s="17" t="b">
        <f aca="false">FALSE()</f>
        <v>0</v>
      </c>
      <c r="E17" s="17" t="b">
        <f aca="false">FALSE()</f>
        <v>0</v>
      </c>
      <c r="F17" s="17" t="b">
        <f aca="false">FALSE()</f>
        <v>0</v>
      </c>
      <c r="G17" s="17" t="b">
        <f aca="false">FALSE()</f>
        <v>0</v>
      </c>
      <c r="H17" s="17" t="b">
        <f aca="false">FALSE()</f>
        <v>0</v>
      </c>
      <c r="I17" s="17" t="b">
        <f aca="false">FALSE()</f>
        <v>0</v>
      </c>
      <c r="J17" s="17" t="b">
        <f aca="false">FALSE()</f>
        <v>0</v>
      </c>
      <c r="K17" s="17" t="b">
        <f aca="false">FALSE()</f>
        <v>0</v>
      </c>
      <c r="L17" s="17" t="b">
        <f aca="false">FALSE()</f>
        <v>0</v>
      </c>
      <c r="M17" s="17" t="b">
        <f aca="false">FALSE()</f>
        <v>0</v>
      </c>
      <c r="N17" s="17" t="b">
        <f aca="false">FALSE()</f>
        <v>0</v>
      </c>
      <c r="O17" s="17" t="b">
        <f aca="false">FALSE()</f>
        <v>0</v>
      </c>
      <c r="P17" s="17" t="b">
        <f aca="false">FALSE()</f>
        <v>0</v>
      </c>
      <c r="Q17" s="17" t="b">
        <f aca="false">FALSE()</f>
        <v>0</v>
      </c>
      <c r="R17" s="17" t="b">
        <f aca="false">FALSE()</f>
        <v>0</v>
      </c>
      <c r="S17" s="17" t="b">
        <f aca="false">FALSE()</f>
        <v>0</v>
      </c>
      <c r="T17" s="17" t="b">
        <f aca="false">FALSE()</f>
        <v>0</v>
      </c>
      <c r="U17" s="17" t="b">
        <f aca="false">FALSE()</f>
        <v>0</v>
      </c>
      <c r="V17" s="17" t="b">
        <f aca="false">FALSE()</f>
        <v>0</v>
      </c>
      <c r="W17" s="17" t="b">
        <f aca="false">FALSE()</f>
        <v>0</v>
      </c>
      <c r="X17" s="17" t="b">
        <f aca="false">FALSE()</f>
        <v>0</v>
      </c>
      <c r="Y17" s="17" t="b">
        <f aca="false">FALSE()</f>
        <v>0</v>
      </c>
      <c r="Z17" s="17" t="b">
        <f aca="false">FALSE()</f>
        <v>0</v>
      </c>
      <c r="AA17" s="17" t="b">
        <f aca="false">FALSE()</f>
        <v>0</v>
      </c>
      <c r="AB17" s="17" t="b">
        <f aca="false">FALSE()</f>
        <v>0</v>
      </c>
      <c r="AC17" s="17" t="b">
        <f aca="false">FALSE()</f>
        <v>0</v>
      </c>
      <c r="AD17" s="17" t="b">
        <f aca="false">FALSE()</f>
        <v>0</v>
      </c>
      <c r="AE17" s="17" t="b">
        <f aca="false">FALSE()</f>
        <v>0</v>
      </c>
      <c r="AF17" s="17" t="b">
        <f aca="false">FALSE()</f>
        <v>0</v>
      </c>
      <c r="AG17" s="17" t="b">
        <f aca="false">FALSE()</f>
        <v>0</v>
      </c>
      <c r="AH17" s="1"/>
      <c r="AI17" s="18" t="n">
        <f aca="false">IF($B17="","",$AP$3)</f>
        <v>31</v>
      </c>
      <c r="AJ17" s="18" t="n">
        <f aca="false">IF($B17="","",COUNTIF(C17:AG17,TRUE()))</f>
        <v>0</v>
      </c>
      <c r="AK17" s="18" t="n">
        <f aca="false">IF($B17="","",AI17-AJ17)</f>
        <v>31</v>
      </c>
      <c r="AL17" s="19" t="n">
        <f aca="false">IF($B17="","",AJ17/AI17)</f>
        <v>0</v>
      </c>
      <c r="AM17" s="20" t="n">
        <f aca="false">IF($B17="","",AJ17/AI17)</f>
        <v>0</v>
      </c>
      <c r="AN17" s="21" t="n">
        <f aca="false">IF($B17="",-1,AM17-ROW()/100000)</f>
        <v>-0.00017</v>
      </c>
      <c r="AO17" s="1"/>
    </row>
    <row r="18" customFormat="false" ht="18" hidden="false" customHeight="true" outlineLevel="0" collapsed="false">
      <c r="A18" s="1"/>
      <c r="B18" s="16" t="s">
        <v>36</v>
      </c>
      <c r="C18" s="17" t="b">
        <f aca="false">FALSE()</f>
        <v>0</v>
      </c>
      <c r="D18" s="17" t="b">
        <f aca="false">FALSE()</f>
        <v>0</v>
      </c>
      <c r="E18" s="17" t="b">
        <f aca="false">FALSE()</f>
        <v>0</v>
      </c>
      <c r="F18" s="17" t="b">
        <f aca="false">FALSE()</f>
        <v>0</v>
      </c>
      <c r="G18" s="17" t="b">
        <f aca="false">FALSE()</f>
        <v>0</v>
      </c>
      <c r="H18" s="17" t="b">
        <f aca="false">FALSE()</f>
        <v>0</v>
      </c>
      <c r="I18" s="17" t="b">
        <f aca="false">FALSE()</f>
        <v>0</v>
      </c>
      <c r="J18" s="17" t="b">
        <f aca="false">FALSE()</f>
        <v>0</v>
      </c>
      <c r="K18" s="17" t="b">
        <f aca="false">FALSE()</f>
        <v>0</v>
      </c>
      <c r="L18" s="17" t="b">
        <f aca="false">FALSE()</f>
        <v>0</v>
      </c>
      <c r="M18" s="17" t="b">
        <f aca="false">FALSE()</f>
        <v>0</v>
      </c>
      <c r="N18" s="17" t="b">
        <f aca="false">FALSE()</f>
        <v>0</v>
      </c>
      <c r="O18" s="17" t="b">
        <f aca="false">FALSE()</f>
        <v>0</v>
      </c>
      <c r="P18" s="17" t="b">
        <f aca="false">FALSE()</f>
        <v>0</v>
      </c>
      <c r="Q18" s="17" t="b">
        <f aca="false">FALSE()</f>
        <v>0</v>
      </c>
      <c r="R18" s="17" t="b">
        <f aca="false">FALSE()</f>
        <v>0</v>
      </c>
      <c r="S18" s="17" t="b">
        <f aca="false">FALSE()</f>
        <v>0</v>
      </c>
      <c r="T18" s="17" t="b">
        <f aca="false">FALSE()</f>
        <v>0</v>
      </c>
      <c r="U18" s="17" t="b">
        <f aca="false">FALSE()</f>
        <v>0</v>
      </c>
      <c r="V18" s="17" t="b">
        <f aca="false">FALSE()</f>
        <v>0</v>
      </c>
      <c r="W18" s="17" t="b">
        <f aca="false">FALSE()</f>
        <v>0</v>
      </c>
      <c r="X18" s="17" t="b">
        <f aca="false">FALSE()</f>
        <v>0</v>
      </c>
      <c r="Y18" s="17" t="b">
        <f aca="false">FALSE()</f>
        <v>0</v>
      </c>
      <c r="Z18" s="17" t="b">
        <f aca="false">FALSE()</f>
        <v>0</v>
      </c>
      <c r="AA18" s="17" t="b">
        <f aca="false">FALSE()</f>
        <v>0</v>
      </c>
      <c r="AB18" s="17" t="b">
        <f aca="false">FALSE()</f>
        <v>0</v>
      </c>
      <c r="AC18" s="17" t="b">
        <f aca="false">FALSE()</f>
        <v>0</v>
      </c>
      <c r="AD18" s="17" t="b">
        <f aca="false">FALSE()</f>
        <v>0</v>
      </c>
      <c r="AE18" s="17" t="b">
        <f aca="false">FALSE()</f>
        <v>0</v>
      </c>
      <c r="AF18" s="17" t="b">
        <f aca="false">FALSE()</f>
        <v>0</v>
      </c>
      <c r="AG18" s="17" t="b">
        <f aca="false">FALSE()</f>
        <v>0</v>
      </c>
      <c r="AH18" s="1"/>
      <c r="AI18" s="18" t="n">
        <f aca="false">IF($B18="","",$AP$3)</f>
        <v>31</v>
      </c>
      <c r="AJ18" s="18" t="n">
        <f aca="false">IF($B18="","",COUNTIF(C18:AG18,TRUE()))</f>
        <v>0</v>
      </c>
      <c r="AK18" s="18" t="n">
        <f aca="false">IF($B18="","",AI18-AJ18)</f>
        <v>31</v>
      </c>
      <c r="AL18" s="19" t="n">
        <f aca="false">IF($B18="","",AJ18/AI18)</f>
        <v>0</v>
      </c>
      <c r="AM18" s="20" t="n">
        <f aca="false">IF($B18="","",AJ18/AI18)</f>
        <v>0</v>
      </c>
      <c r="AN18" s="21" t="n">
        <f aca="false">IF($B18="",-1,AM18-ROW()/100000)</f>
        <v>-0.00018</v>
      </c>
      <c r="AO18" s="1"/>
    </row>
    <row r="19" customFormat="false" ht="18" hidden="false" customHeight="true" outlineLevel="0" collapsed="false">
      <c r="A19" s="1"/>
      <c r="B19" s="16" t="s">
        <v>37</v>
      </c>
      <c r="C19" s="17" t="b">
        <f aca="false">FALSE()</f>
        <v>0</v>
      </c>
      <c r="D19" s="17" t="b">
        <f aca="false">FALSE()</f>
        <v>0</v>
      </c>
      <c r="E19" s="17" t="b">
        <f aca="false">FALSE()</f>
        <v>0</v>
      </c>
      <c r="F19" s="17" t="b">
        <f aca="false">FALSE()</f>
        <v>0</v>
      </c>
      <c r="G19" s="17" t="b">
        <f aca="false">FALSE()</f>
        <v>0</v>
      </c>
      <c r="H19" s="17" t="b">
        <f aca="false">FALSE()</f>
        <v>0</v>
      </c>
      <c r="I19" s="17" t="b">
        <f aca="false">FALSE()</f>
        <v>0</v>
      </c>
      <c r="J19" s="17" t="b">
        <f aca="false">FALSE()</f>
        <v>0</v>
      </c>
      <c r="K19" s="17" t="b">
        <f aca="false">FALSE()</f>
        <v>0</v>
      </c>
      <c r="L19" s="17" t="b">
        <f aca="false">FALSE()</f>
        <v>0</v>
      </c>
      <c r="M19" s="17" t="b">
        <f aca="false">FALSE()</f>
        <v>0</v>
      </c>
      <c r="N19" s="17" t="b">
        <f aca="false">FALSE()</f>
        <v>0</v>
      </c>
      <c r="O19" s="17" t="b">
        <f aca="false">FALSE()</f>
        <v>0</v>
      </c>
      <c r="P19" s="17" t="b">
        <f aca="false">FALSE()</f>
        <v>0</v>
      </c>
      <c r="Q19" s="17" t="b">
        <f aca="false">FALSE()</f>
        <v>0</v>
      </c>
      <c r="R19" s="17" t="b">
        <f aca="false">FALSE()</f>
        <v>0</v>
      </c>
      <c r="S19" s="17" t="b">
        <f aca="false">FALSE()</f>
        <v>0</v>
      </c>
      <c r="T19" s="17" t="b">
        <f aca="false">FALSE()</f>
        <v>0</v>
      </c>
      <c r="U19" s="17" t="b">
        <f aca="false">FALSE()</f>
        <v>0</v>
      </c>
      <c r="V19" s="17" t="b">
        <f aca="false">FALSE()</f>
        <v>0</v>
      </c>
      <c r="W19" s="17" t="b">
        <f aca="false">FALSE()</f>
        <v>0</v>
      </c>
      <c r="X19" s="17" t="b">
        <f aca="false">FALSE()</f>
        <v>0</v>
      </c>
      <c r="Y19" s="17" t="b">
        <f aca="false">FALSE()</f>
        <v>0</v>
      </c>
      <c r="Z19" s="17" t="b">
        <f aca="false">FALSE()</f>
        <v>0</v>
      </c>
      <c r="AA19" s="17" t="b">
        <f aca="false">FALSE()</f>
        <v>0</v>
      </c>
      <c r="AB19" s="17" t="b">
        <f aca="false">FALSE()</f>
        <v>0</v>
      </c>
      <c r="AC19" s="17" t="b">
        <f aca="false">FALSE()</f>
        <v>0</v>
      </c>
      <c r="AD19" s="17" t="b">
        <f aca="false">FALSE()</f>
        <v>0</v>
      </c>
      <c r="AE19" s="17" t="b">
        <f aca="false">FALSE()</f>
        <v>0</v>
      </c>
      <c r="AF19" s="17" t="b">
        <f aca="false">FALSE()</f>
        <v>0</v>
      </c>
      <c r="AG19" s="17" t="b">
        <f aca="false">FALSE()</f>
        <v>0</v>
      </c>
      <c r="AH19" s="1"/>
      <c r="AI19" s="18" t="n">
        <f aca="false">IF($B19="","",$AP$3)</f>
        <v>31</v>
      </c>
      <c r="AJ19" s="18" t="n">
        <f aca="false">IF($B19="","",COUNTIF(C19:AG19,TRUE()))</f>
        <v>0</v>
      </c>
      <c r="AK19" s="18" t="n">
        <f aca="false">IF($B19="","",AI19-AJ19)</f>
        <v>31</v>
      </c>
      <c r="AL19" s="19" t="n">
        <f aca="false">IF($B19="","",AJ19/AI19)</f>
        <v>0</v>
      </c>
      <c r="AM19" s="20" t="n">
        <f aca="false">IF($B19="","",AJ19/AI19)</f>
        <v>0</v>
      </c>
      <c r="AN19" s="21" t="n">
        <f aca="false">IF($B19="",-1,AM19-ROW()/100000)</f>
        <v>-0.00019</v>
      </c>
      <c r="AO19" s="1"/>
    </row>
    <row r="20" customFormat="false" ht="18" hidden="false" customHeight="true" outlineLevel="0" collapsed="false">
      <c r="A20" s="1"/>
      <c r="B20" s="16" t="s">
        <v>38</v>
      </c>
      <c r="C20" s="17" t="b">
        <f aca="false">FALSE()</f>
        <v>0</v>
      </c>
      <c r="D20" s="17" t="b">
        <f aca="false">FALSE()</f>
        <v>0</v>
      </c>
      <c r="E20" s="17" t="b">
        <f aca="false">FALSE()</f>
        <v>0</v>
      </c>
      <c r="F20" s="17" t="b">
        <f aca="false">FALSE()</f>
        <v>0</v>
      </c>
      <c r="G20" s="17" t="b">
        <f aca="false">FALSE()</f>
        <v>0</v>
      </c>
      <c r="H20" s="17" t="b">
        <f aca="false">FALSE()</f>
        <v>0</v>
      </c>
      <c r="I20" s="17" t="b">
        <f aca="false">FALSE()</f>
        <v>0</v>
      </c>
      <c r="J20" s="17" t="b">
        <f aca="false">FALSE()</f>
        <v>0</v>
      </c>
      <c r="K20" s="17" t="b">
        <f aca="false">FALSE()</f>
        <v>0</v>
      </c>
      <c r="L20" s="17" t="b">
        <f aca="false">FALSE()</f>
        <v>0</v>
      </c>
      <c r="M20" s="17" t="b">
        <f aca="false">FALSE()</f>
        <v>0</v>
      </c>
      <c r="N20" s="17" t="b">
        <f aca="false">FALSE()</f>
        <v>0</v>
      </c>
      <c r="O20" s="17" t="b">
        <f aca="false">FALSE()</f>
        <v>0</v>
      </c>
      <c r="P20" s="17" t="b">
        <f aca="false">FALSE()</f>
        <v>0</v>
      </c>
      <c r="Q20" s="17" t="b">
        <f aca="false">FALSE()</f>
        <v>0</v>
      </c>
      <c r="R20" s="17" t="b">
        <f aca="false">FALSE()</f>
        <v>0</v>
      </c>
      <c r="S20" s="17" t="b">
        <f aca="false">FALSE()</f>
        <v>0</v>
      </c>
      <c r="T20" s="17" t="b">
        <f aca="false">FALSE()</f>
        <v>0</v>
      </c>
      <c r="U20" s="17" t="b">
        <f aca="false">FALSE()</f>
        <v>0</v>
      </c>
      <c r="V20" s="17" t="b">
        <f aca="false">FALSE()</f>
        <v>0</v>
      </c>
      <c r="W20" s="17" t="b">
        <f aca="false">FALSE()</f>
        <v>0</v>
      </c>
      <c r="X20" s="17" t="b">
        <f aca="false">FALSE()</f>
        <v>0</v>
      </c>
      <c r="Y20" s="17" t="b">
        <f aca="false">FALSE()</f>
        <v>0</v>
      </c>
      <c r="Z20" s="17" t="b">
        <f aca="false">FALSE()</f>
        <v>0</v>
      </c>
      <c r="AA20" s="17" t="b">
        <f aca="false">FALSE()</f>
        <v>0</v>
      </c>
      <c r="AB20" s="17" t="b">
        <f aca="false">FALSE()</f>
        <v>0</v>
      </c>
      <c r="AC20" s="17" t="b">
        <f aca="false">FALSE()</f>
        <v>0</v>
      </c>
      <c r="AD20" s="17" t="b">
        <f aca="false">FALSE()</f>
        <v>0</v>
      </c>
      <c r="AE20" s="17" t="b">
        <f aca="false">FALSE()</f>
        <v>0</v>
      </c>
      <c r="AF20" s="17" t="b">
        <f aca="false">FALSE()</f>
        <v>0</v>
      </c>
      <c r="AG20" s="17" t="b">
        <f aca="false">FALSE()</f>
        <v>0</v>
      </c>
      <c r="AH20" s="1"/>
      <c r="AI20" s="18" t="n">
        <f aca="false">IF($B20="","",$AP$3)</f>
        <v>31</v>
      </c>
      <c r="AJ20" s="18" t="n">
        <f aca="false">IF($B20="","",COUNTIF(C20:AG20,TRUE()))</f>
        <v>0</v>
      </c>
      <c r="AK20" s="18" t="n">
        <f aca="false">IF($B20="","",AI20-AJ20)</f>
        <v>31</v>
      </c>
      <c r="AL20" s="19" t="n">
        <f aca="false">IF($B20="","",AJ20/AI20)</f>
        <v>0</v>
      </c>
      <c r="AM20" s="20" t="n">
        <f aca="false">IF($B20="","",AJ20/AI20)</f>
        <v>0</v>
      </c>
      <c r="AN20" s="21" t="n">
        <f aca="false">IF($B20="",-1,AM20-ROW()/100000)</f>
        <v>-0.0002</v>
      </c>
      <c r="AO20" s="1"/>
    </row>
    <row r="21" customFormat="false" ht="18" hidden="false" customHeight="true" outlineLevel="0" collapsed="false">
      <c r="A21" s="1"/>
      <c r="B21" s="16" t="s">
        <v>39</v>
      </c>
      <c r="C21" s="17" t="b">
        <f aca="false">FALSE()</f>
        <v>0</v>
      </c>
      <c r="D21" s="17" t="b">
        <f aca="false">FALSE()</f>
        <v>0</v>
      </c>
      <c r="E21" s="17" t="b">
        <f aca="false">FALSE()</f>
        <v>0</v>
      </c>
      <c r="F21" s="17" t="b">
        <f aca="false">FALSE()</f>
        <v>0</v>
      </c>
      <c r="G21" s="17" t="b">
        <f aca="false">FALSE()</f>
        <v>0</v>
      </c>
      <c r="H21" s="17" t="b">
        <f aca="false">FALSE()</f>
        <v>0</v>
      </c>
      <c r="I21" s="17" t="b">
        <f aca="false">FALSE()</f>
        <v>0</v>
      </c>
      <c r="J21" s="17" t="b">
        <f aca="false">FALSE()</f>
        <v>0</v>
      </c>
      <c r="K21" s="17" t="b">
        <f aca="false">FALSE()</f>
        <v>0</v>
      </c>
      <c r="L21" s="17" t="b">
        <f aca="false">FALSE()</f>
        <v>0</v>
      </c>
      <c r="M21" s="17" t="b">
        <f aca="false">FALSE()</f>
        <v>0</v>
      </c>
      <c r="N21" s="17" t="b">
        <f aca="false">FALSE()</f>
        <v>0</v>
      </c>
      <c r="O21" s="17" t="b">
        <f aca="false">FALSE()</f>
        <v>0</v>
      </c>
      <c r="P21" s="17" t="b">
        <f aca="false">FALSE()</f>
        <v>0</v>
      </c>
      <c r="Q21" s="17" t="b">
        <f aca="false">FALSE()</f>
        <v>0</v>
      </c>
      <c r="R21" s="17" t="b">
        <f aca="false">FALSE()</f>
        <v>0</v>
      </c>
      <c r="S21" s="17" t="b">
        <f aca="false">FALSE()</f>
        <v>0</v>
      </c>
      <c r="T21" s="17" t="b">
        <f aca="false">FALSE()</f>
        <v>0</v>
      </c>
      <c r="U21" s="17" t="b">
        <f aca="false">FALSE()</f>
        <v>0</v>
      </c>
      <c r="V21" s="17" t="b">
        <f aca="false">FALSE()</f>
        <v>0</v>
      </c>
      <c r="W21" s="17" t="b">
        <f aca="false">FALSE()</f>
        <v>0</v>
      </c>
      <c r="X21" s="17" t="b">
        <f aca="false">FALSE()</f>
        <v>0</v>
      </c>
      <c r="Y21" s="17" t="b">
        <f aca="false">FALSE()</f>
        <v>0</v>
      </c>
      <c r="Z21" s="17" t="b">
        <f aca="false">FALSE()</f>
        <v>0</v>
      </c>
      <c r="AA21" s="17" t="b">
        <f aca="false">FALSE()</f>
        <v>0</v>
      </c>
      <c r="AB21" s="17" t="b">
        <f aca="false">FALSE()</f>
        <v>0</v>
      </c>
      <c r="AC21" s="17" t="b">
        <f aca="false">FALSE()</f>
        <v>0</v>
      </c>
      <c r="AD21" s="17" t="b">
        <f aca="false">FALSE()</f>
        <v>0</v>
      </c>
      <c r="AE21" s="17" t="b">
        <f aca="false">FALSE()</f>
        <v>0</v>
      </c>
      <c r="AF21" s="17" t="b">
        <f aca="false">FALSE()</f>
        <v>0</v>
      </c>
      <c r="AG21" s="17" t="b">
        <f aca="false">FALSE()</f>
        <v>0</v>
      </c>
      <c r="AH21" s="1"/>
      <c r="AI21" s="18" t="n">
        <f aca="false">IF($B21="","",$AP$3)</f>
        <v>31</v>
      </c>
      <c r="AJ21" s="18" t="n">
        <f aca="false">IF($B21="","",COUNTIF(C21:AG21,TRUE()))</f>
        <v>0</v>
      </c>
      <c r="AK21" s="18" t="n">
        <f aca="false">IF($B21="","",AI21-AJ21)</f>
        <v>31</v>
      </c>
      <c r="AL21" s="19" t="n">
        <f aca="false">IF($B21="","",AJ21/AI21)</f>
        <v>0</v>
      </c>
      <c r="AM21" s="20" t="n">
        <f aca="false">IF($B21="","",AJ21/AI21)</f>
        <v>0</v>
      </c>
      <c r="AN21" s="21" t="n">
        <f aca="false">IF($B21="",-1,AM21-ROW()/100000)</f>
        <v>-0.00021</v>
      </c>
      <c r="AO21" s="1"/>
    </row>
    <row r="22" customFormat="false" ht="18" hidden="false" customHeight="true" outlineLevel="0" collapsed="false">
      <c r="A22" s="1"/>
      <c r="B22" s="16" t="s">
        <v>40</v>
      </c>
      <c r="C22" s="17" t="b">
        <f aca="false">FALSE()</f>
        <v>0</v>
      </c>
      <c r="D22" s="17" t="b">
        <f aca="false">FALSE()</f>
        <v>0</v>
      </c>
      <c r="E22" s="17" t="b">
        <f aca="false">FALSE()</f>
        <v>0</v>
      </c>
      <c r="F22" s="17" t="b">
        <f aca="false">FALSE()</f>
        <v>0</v>
      </c>
      <c r="G22" s="17" t="b">
        <f aca="false">FALSE()</f>
        <v>0</v>
      </c>
      <c r="H22" s="17" t="b">
        <f aca="false">FALSE()</f>
        <v>0</v>
      </c>
      <c r="I22" s="17" t="b">
        <f aca="false">FALSE()</f>
        <v>0</v>
      </c>
      <c r="J22" s="17" t="b">
        <f aca="false">FALSE()</f>
        <v>0</v>
      </c>
      <c r="K22" s="17" t="b">
        <f aca="false">FALSE()</f>
        <v>0</v>
      </c>
      <c r="L22" s="17" t="b">
        <f aca="false">FALSE()</f>
        <v>0</v>
      </c>
      <c r="M22" s="17" t="b">
        <f aca="false">FALSE()</f>
        <v>0</v>
      </c>
      <c r="N22" s="17" t="b">
        <f aca="false">FALSE()</f>
        <v>0</v>
      </c>
      <c r="O22" s="17" t="b">
        <f aca="false">FALSE()</f>
        <v>0</v>
      </c>
      <c r="P22" s="17" t="b">
        <f aca="false">FALSE()</f>
        <v>0</v>
      </c>
      <c r="Q22" s="17" t="b">
        <f aca="false">FALSE()</f>
        <v>0</v>
      </c>
      <c r="R22" s="17" t="b">
        <f aca="false">FALSE()</f>
        <v>0</v>
      </c>
      <c r="S22" s="17" t="b">
        <f aca="false">FALSE()</f>
        <v>0</v>
      </c>
      <c r="T22" s="17" t="b">
        <f aca="false">FALSE()</f>
        <v>0</v>
      </c>
      <c r="U22" s="17" t="b">
        <f aca="false">FALSE()</f>
        <v>0</v>
      </c>
      <c r="V22" s="17" t="b">
        <f aca="false">FALSE()</f>
        <v>0</v>
      </c>
      <c r="W22" s="17" t="b">
        <f aca="false">FALSE()</f>
        <v>0</v>
      </c>
      <c r="X22" s="17" t="b">
        <f aca="false">FALSE()</f>
        <v>0</v>
      </c>
      <c r="Y22" s="17" t="b">
        <f aca="false">FALSE()</f>
        <v>0</v>
      </c>
      <c r="Z22" s="17" t="b">
        <f aca="false">FALSE()</f>
        <v>0</v>
      </c>
      <c r="AA22" s="17" t="b">
        <f aca="false">FALSE()</f>
        <v>0</v>
      </c>
      <c r="AB22" s="17" t="b">
        <f aca="false">FALSE()</f>
        <v>0</v>
      </c>
      <c r="AC22" s="17" t="b">
        <f aca="false">FALSE()</f>
        <v>0</v>
      </c>
      <c r="AD22" s="17" t="b">
        <f aca="false">FALSE()</f>
        <v>0</v>
      </c>
      <c r="AE22" s="17" t="b">
        <f aca="false">FALSE()</f>
        <v>0</v>
      </c>
      <c r="AF22" s="17" t="b">
        <f aca="false">FALSE()</f>
        <v>0</v>
      </c>
      <c r="AG22" s="17" t="b">
        <f aca="false">FALSE()</f>
        <v>0</v>
      </c>
      <c r="AH22" s="1"/>
      <c r="AI22" s="18" t="n">
        <f aca="false">IF($B22="","",$AP$3)</f>
        <v>31</v>
      </c>
      <c r="AJ22" s="18" t="n">
        <f aca="false">IF($B22="","",COUNTIF(C22:AG22,TRUE()))</f>
        <v>0</v>
      </c>
      <c r="AK22" s="18" t="n">
        <f aca="false">IF($B22="","",AI22-AJ22)</f>
        <v>31</v>
      </c>
      <c r="AL22" s="19" t="n">
        <f aca="false">IF($B22="","",AJ22/AI22)</f>
        <v>0</v>
      </c>
      <c r="AM22" s="20" t="n">
        <f aca="false">IF($B22="","",AJ22/AI22)</f>
        <v>0</v>
      </c>
      <c r="AN22" s="21" t="n">
        <f aca="false">IF($B22="",-1,AM22-ROW()/100000)</f>
        <v>-0.00022</v>
      </c>
      <c r="AO22" s="1"/>
    </row>
    <row r="23" customFormat="false" ht="18" hidden="false" customHeight="true" outlineLevel="0" collapsed="false">
      <c r="A23" s="1"/>
      <c r="B23" s="16" t="s">
        <v>41</v>
      </c>
      <c r="C23" s="17" t="b">
        <f aca="false">FALSE()</f>
        <v>0</v>
      </c>
      <c r="D23" s="17" t="b">
        <f aca="false">FALSE()</f>
        <v>0</v>
      </c>
      <c r="E23" s="17" t="b">
        <f aca="false">FALSE()</f>
        <v>0</v>
      </c>
      <c r="F23" s="17" t="b">
        <f aca="false">FALSE()</f>
        <v>0</v>
      </c>
      <c r="G23" s="17" t="b">
        <f aca="false">FALSE()</f>
        <v>0</v>
      </c>
      <c r="H23" s="17" t="b">
        <f aca="false">FALSE()</f>
        <v>0</v>
      </c>
      <c r="I23" s="17" t="b">
        <f aca="false">FALSE()</f>
        <v>0</v>
      </c>
      <c r="J23" s="17" t="b">
        <f aca="false">FALSE()</f>
        <v>0</v>
      </c>
      <c r="K23" s="17" t="b">
        <f aca="false">FALSE()</f>
        <v>0</v>
      </c>
      <c r="L23" s="17" t="b">
        <f aca="false">FALSE()</f>
        <v>0</v>
      </c>
      <c r="M23" s="17" t="b">
        <f aca="false">FALSE()</f>
        <v>0</v>
      </c>
      <c r="N23" s="17" t="b">
        <f aca="false">FALSE()</f>
        <v>0</v>
      </c>
      <c r="O23" s="17" t="b">
        <f aca="false">FALSE()</f>
        <v>0</v>
      </c>
      <c r="P23" s="17" t="b">
        <f aca="false">FALSE()</f>
        <v>0</v>
      </c>
      <c r="Q23" s="17" t="b">
        <f aca="false">FALSE()</f>
        <v>0</v>
      </c>
      <c r="R23" s="17" t="b">
        <f aca="false">FALSE()</f>
        <v>0</v>
      </c>
      <c r="S23" s="17" t="b">
        <f aca="false">FALSE()</f>
        <v>0</v>
      </c>
      <c r="T23" s="17" t="b">
        <f aca="false">FALSE()</f>
        <v>0</v>
      </c>
      <c r="U23" s="17" t="b">
        <f aca="false">FALSE()</f>
        <v>0</v>
      </c>
      <c r="V23" s="17" t="b">
        <f aca="false">FALSE()</f>
        <v>0</v>
      </c>
      <c r="W23" s="17" t="b">
        <f aca="false">FALSE()</f>
        <v>0</v>
      </c>
      <c r="X23" s="17" t="b">
        <f aca="false">FALSE()</f>
        <v>0</v>
      </c>
      <c r="Y23" s="17" t="b">
        <f aca="false">FALSE()</f>
        <v>0</v>
      </c>
      <c r="Z23" s="17" t="b">
        <f aca="false">FALSE()</f>
        <v>0</v>
      </c>
      <c r="AA23" s="17" t="b">
        <f aca="false">FALSE()</f>
        <v>0</v>
      </c>
      <c r="AB23" s="17" t="b">
        <f aca="false">FALSE()</f>
        <v>0</v>
      </c>
      <c r="AC23" s="17" t="b">
        <f aca="false">FALSE()</f>
        <v>0</v>
      </c>
      <c r="AD23" s="17" t="b">
        <f aca="false">FALSE()</f>
        <v>0</v>
      </c>
      <c r="AE23" s="17" t="b">
        <f aca="false">FALSE()</f>
        <v>0</v>
      </c>
      <c r="AF23" s="17" t="b">
        <f aca="false">FALSE()</f>
        <v>0</v>
      </c>
      <c r="AG23" s="17" t="b">
        <f aca="false">FALSE()</f>
        <v>0</v>
      </c>
      <c r="AH23" s="1"/>
      <c r="AI23" s="18" t="n">
        <f aca="false">IF($B23="","",$AP$3)</f>
        <v>31</v>
      </c>
      <c r="AJ23" s="18" t="n">
        <f aca="false">IF($B23="","",COUNTIF(C23:AG23,TRUE()))</f>
        <v>0</v>
      </c>
      <c r="AK23" s="18" t="n">
        <f aca="false">IF($B23="","",AI23-AJ23)</f>
        <v>31</v>
      </c>
      <c r="AL23" s="19" t="n">
        <f aca="false">IF($B23="","",AJ23/AI23)</f>
        <v>0</v>
      </c>
      <c r="AM23" s="20" t="n">
        <f aca="false">IF($B23="","",AJ23/AI23)</f>
        <v>0</v>
      </c>
      <c r="AN23" s="21" t="n">
        <f aca="false">IF($B23="",-1,AM23-ROW()/100000)</f>
        <v>-0.00023</v>
      </c>
      <c r="AO23" s="1"/>
    </row>
    <row r="24" customFormat="false" ht="18" hidden="false" customHeight="true" outlineLevel="0" collapsed="false">
      <c r="A24" s="1"/>
      <c r="B24" s="16" t="s">
        <v>42</v>
      </c>
      <c r="C24" s="17" t="b">
        <f aca="false">FALSE()</f>
        <v>0</v>
      </c>
      <c r="D24" s="17" t="b">
        <f aca="false">FALSE()</f>
        <v>0</v>
      </c>
      <c r="E24" s="17" t="b">
        <f aca="false">FALSE()</f>
        <v>0</v>
      </c>
      <c r="F24" s="17" t="b">
        <f aca="false">FALSE()</f>
        <v>0</v>
      </c>
      <c r="G24" s="17" t="b">
        <f aca="false">FALSE()</f>
        <v>0</v>
      </c>
      <c r="H24" s="17" t="b">
        <f aca="false">FALSE()</f>
        <v>0</v>
      </c>
      <c r="I24" s="17" t="b">
        <f aca="false">FALSE()</f>
        <v>0</v>
      </c>
      <c r="J24" s="17" t="b">
        <f aca="false">FALSE()</f>
        <v>0</v>
      </c>
      <c r="K24" s="17" t="b">
        <f aca="false">FALSE()</f>
        <v>0</v>
      </c>
      <c r="L24" s="17" t="b">
        <f aca="false">FALSE()</f>
        <v>0</v>
      </c>
      <c r="M24" s="17" t="b">
        <f aca="false">FALSE()</f>
        <v>0</v>
      </c>
      <c r="N24" s="17" t="b">
        <f aca="false">FALSE()</f>
        <v>0</v>
      </c>
      <c r="O24" s="17" t="b">
        <f aca="false">FALSE()</f>
        <v>0</v>
      </c>
      <c r="P24" s="17" t="b">
        <f aca="false">FALSE()</f>
        <v>0</v>
      </c>
      <c r="Q24" s="17" t="b">
        <f aca="false">FALSE()</f>
        <v>0</v>
      </c>
      <c r="R24" s="17" t="b">
        <f aca="false">FALSE()</f>
        <v>0</v>
      </c>
      <c r="S24" s="17" t="b">
        <f aca="false">FALSE()</f>
        <v>0</v>
      </c>
      <c r="T24" s="17" t="b">
        <f aca="false">FALSE()</f>
        <v>0</v>
      </c>
      <c r="U24" s="17" t="b">
        <f aca="false">FALSE()</f>
        <v>0</v>
      </c>
      <c r="V24" s="17" t="b">
        <f aca="false">FALSE()</f>
        <v>0</v>
      </c>
      <c r="W24" s="17" t="b">
        <f aca="false">FALSE()</f>
        <v>0</v>
      </c>
      <c r="X24" s="17" t="b">
        <f aca="false">FALSE()</f>
        <v>0</v>
      </c>
      <c r="Y24" s="17" t="b">
        <f aca="false">FALSE()</f>
        <v>0</v>
      </c>
      <c r="Z24" s="17" t="b">
        <f aca="false">FALSE()</f>
        <v>0</v>
      </c>
      <c r="AA24" s="17" t="b">
        <f aca="false">FALSE()</f>
        <v>0</v>
      </c>
      <c r="AB24" s="17" t="b">
        <f aca="false">FALSE()</f>
        <v>0</v>
      </c>
      <c r="AC24" s="17" t="b">
        <f aca="false">FALSE()</f>
        <v>0</v>
      </c>
      <c r="AD24" s="17" t="b">
        <f aca="false">FALSE()</f>
        <v>0</v>
      </c>
      <c r="AE24" s="17" t="b">
        <f aca="false">FALSE()</f>
        <v>0</v>
      </c>
      <c r="AF24" s="17" t="b">
        <f aca="false">FALSE()</f>
        <v>0</v>
      </c>
      <c r="AG24" s="17" t="b">
        <f aca="false">FALSE()</f>
        <v>0</v>
      </c>
      <c r="AH24" s="1"/>
      <c r="AI24" s="18" t="n">
        <f aca="false">IF($B24="","",$AP$3)</f>
        <v>31</v>
      </c>
      <c r="AJ24" s="18" t="n">
        <f aca="false">IF($B24="","",COUNTIF(C24:AG24,TRUE()))</f>
        <v>0</v>
      </c>
      <c r="AK24" s="18" t="n">
        <f aca="false">IF($B24="","",AI24-AJ24)</f>
        <v>31</v>
      </c>
      <c r="AL24" s="19" t="n">
        <f aca="false">IF($B24="","",AJ24/AI24)</f>
        <v>0</v>
      </c>
      <c r="AM24" s="20" t="n">
        <f aca="false">IF($B24="","",AJ24/AI24)</f>
        <v>0</v>
      </c>
      <c r="AN24" s="21" t="n">
        <f aca="false">IF($B24="",-1,AM24-ROW()/100000)</f>
        <v>-0.00024</v>
      </c>
      <c r="AO24" s="1"/>
    </row>
    <row r="25" customFormat="false" ht="18" hidden="false" customHeight="true" outlineLevel="0" collapsed="false">
      <c r="A25" s="1"/>
      <c r="B25" s="16" t="s">
        <v>43</v>
      </c>
      <c r="C25" s="17" t="b">
        <f aca="false">FALSE()</f>
        <v>0</v>
      </c>
      <c r="D25" s="17" t="b">
        <f aca="false">FALSE()</f>
        <v>0</v>
      </c>
      <c r="E25" s="17" t="b">
        <f aca="false">FALSE()</f>
        <v>0</v>
      </c>
      <c r="F25" s="17" t="b">
        <f aca="false">FALSE()</f>
        <v>0</v>
      </c>
      <c r="G25" s="17" t="b">
        <f aca="false">FALSE()</f>
        <v>0</v>
      </c>
      <c r="H25" s="17" t="b">
        <f aca="false">FALSE()</f>
        <v>0</v>
      </c>
      <c r="I25" s="17" t="b">
        <f aca="false">FALSE()</f>
        <v>0</v>
      </c>
      <c r="J25" s="17" t="b">
        <f aca="false">FALSE()</f>
        <v>0</v>
      </c>
      <c r="K25" s="17" t="b">
        <f aca="false">FALSE()</f>
        <v>0</v>
      </c>
      <c r="L25" s="17" t="b">
        <f aca="false">FALSE()</f>
        <v>0</v>
      </c>
      <c r="M25" s="17" t="b">
        <f aca="false">FALSE()</f>
        <v>0</v>
      </c>
      <c r="N25" s="17" t="b">
        <f aca="false">FALSE()</f>
        <v>0</v>
      </c>
      <c r="O25" s="17" t="b">
        <f aca="false">FALSE()</f>
        <v>0</v>
      </c>
      <c r="P25" s="17" t="b">
        <f aca="false">FALSE()</f>
        <v>0</v>
      </c>
      <c r="Q25" s="17" t="b">
        <f aca="false">FALSE()</f>
        <v>0</v>
      </c>
      <c r="R25" s="17" t="b">
        <f aca="false">FALSE()</f>
        <v>0</v>
      </c>
      <c r="S25" s="17" t="b">
        <f aca="false">FALSE()</f>
        <v>0</v>
      </c>
      <c r="T25" s="17" t="b">
        <f aca="false">FALSE()</f>
        <v>0</v>
      </c>
      <c r="U25" s="17" t="b">
        <f aca="false">FALSE()</f>
        <v>0</v>
      </c>
      <c r="V25" s="17" t="b">
        <f aca="false">FALSE()</f>
        <v>0</v>
      </c>
      <c r="W25" s="17" t="b">
        <f aca="false">FALSE()</f>
        <v>0</v>
      </c>
      <c r="X25" s="17" t="b">
        <f aca="false">FALSE()</f>
        <v>0</v>
      </c>
      <c r="Y25" s="17" t="b">
        <f aca="false">FALSE()</f>
        <v>0</v>
      </c>
      <c r="Z25" s="17" t="b">
        <f aca="false">FALSE()</f>
        <v>0</v>
      </c>
      <c r="AA25" s="17" t="b">
        <f aca="false">FALSE()</f>
        <v>0</v>
      </c>
      <c r="AB25" s="17" t="b">
        <f aca="false">FALSE()</f>
        <v>0</v>
      </c>
      <c r="AC25" s="17" t="b">
        <f aca="false">FALSE()</f>
        <v>0</v>
      </c>
      <c r="AD25" s="17" t="b">
        <f aca="false">FALSE()</f>
        <v>0</v>
      </c>
      <c r="AE25" s="17" t="b">
        <f aca="false">FALSE()</f>
        <v>0</v>
      </c>
      <c r="AF25" s="17" t="b">
        <f aca="false">FALSE()</f>
        <v>0</v>
      </c>
      <c r="AG25" s="17" t="b">
        <f aca="false">FALSE()</f>
        <v>0</v>
      </c>
      <c r="AH25" s="1"/>
      <c r="AI25" s="18" t="n">
        <f aca="false">IF($B25="","",$AP$3)</f>
        <v>31</v>
      </c>
      <c r="AJ25" s="18" t="n">
        <f aca="false">IF($B25="","",COUNTIF(C25:AG25,TRUE()))</f>
        <v>0</v>
      </c>
      <c r="AK25" s="18" t="n">
        <f aca="false">IF($B25="","",AI25-AJ25)</f>
        <v>31</v>
      </c>
      <c r="AL25" s="19" t="n">
        <f aca="false">IF($B25="","",AJ25/AI25)</f>
        <v>0</v>
      </c>
      <c r="AM25" s="20" t="n">
        <f aca="false">IF($B25="","",AJ25/AI25)</f>
        <v>0</v>
      </c>
      <c r="AN25" s="21" t="n">
        <f aca="false">IF($B25="",-1,AM25-ROW()/100000)</f>
        <v>-0.00025</v>
      </c>
      <c r="AO25" s="1"/>
    </row>
    <row r="26" customFormat="false" ht="18" hidden="false" customHeight="true" outlineLevel="0" collapsed="false">
      <c r="A26" s="1"/>
      <c r="B26" s="16" t="s">
        <v>44</v>
      </c>
      <c r="C26" s="17" t="b">
        <f aca="false">FALSE()</f>
        <v>0</v>
      </c>
      <c r="D26" s="17" t="b">
        <f aca="false">FALSE()</f>
        <v>0</v>
      </c>
      <c r="E26" s="17" t="b">
        <f aca="false">FALSE()</f>
        <v>0</v>
      </c>
      <c r="F26" s="17" t="b">
        <f aca="false">FALSE()</f>
        <v>0</v>
      </c>
      <c r="G26" s="17" t="b">
        <f aca="false">FALSE()</f>
        <v>0</v>
      </c>
      <c r="H26" s="17" t="b">
        <f aca="false">FALSE()</f>
        <v>0</v>
      </c>
      <c r="I26" s="17" t="b">
        <f aca="false">FALSE()</f>
        <v>0</v>
      </c>
      <c r="J26" s="17" t="b">
        <f aca="false">FALSE()</f>
        <v>0</v>
      </c>
      <c r="K26" s="17" t="b">
        <f aca="false">FALSE()</f>
        <v>0</v>
      </c>
      <c r="L26" s="17" t="b">
        <f aca="false">FALSE()</f>
        <v>0</v>
      </c>
      <c r="M26" s="17" t="b">
        <f aca="false">FALSE()</f>
        <v>0</v>
      </c>
      <c r="N26" s="17" t="b">
        <f aca="false">FALSE()</f>
        <v>0</v>
      </c>
      <c r="O26" s="17" t="b">
        <f aca="false">FALSE()</f>
        <v>0</v>
      </c>
      <c r="P26" s="17" t="b">
        <f aca="false">FALSE()</f>
        <v>0</v>
      </c>
      <c r="Q26" s="17" t="b">
        <f aca="false">FALSE()</f>
        <v>0</v>
      </c>
      <c r="R26" s="17" t="b">
        <f aca="false">FALSE()</f>
        <v>0</v>
      </c>
      <c r="S26" s="17" t="b">
        <f aca="false">FALSE()</f>
        <v>0</v>
      </c>
      <c r="T26" s="17" t="b">
        <f aca="false">FALSE()</f>
        <v>0</v>
      </c>
      <c r="U26" s="17" t="b">
        <f aca="false">FALSE()</f>
        <v>0</v>
      </c>
      <c r="V26" s="17" t="b">
        <f aca="false">FALSE()</f>
        <v>0</v>
      </c>
      <c r="W26" s="17" t="b">
        <f aca="false">FALSE()</f>
        <v>0</v>
      </c>
      <c r="X26" s="17" t="b">
        <f aca="false">FALSE()</f>
        <v>0</v>
      </c>
      <c r="Y26" s="17" t="b">
        <f aca="false">FALSE()</f>
        <v>0</v>
      </c>
      <c r="Z26" s="17" t="b">
        <f aca="false">FALSE()</f>
        <v>0</v>
      </c>
      <c r="AA26" s="17" t="b">
        <f aca="false">FALSE()</f>
        <v>0</v>
      </c>
      <c r="AB26" s="17" t="b">
        <f aca="false">FALSE()</f>
        <v>0</v>
      </c>
      <c r="AC26" s="17" t="b">
        <f aca="false">FALSE()</f>
        <v>0</v>
      </c>
      <c r="AD26" s="17" t="b">
        <f aca="false">FALSE()</f>
        <v>0</v>
      </c>
      <c r="AE26" s="17" t="b">
        <f aca="false">FALSE()</f>
        <v>0</v>
      </c>
      <c r="AF26" s="17" t="b">
        <f aca="false">FALSE()</f>
        <v>0</v>
      </c>
      <c r="AG26" s="17" t="b">
        <f aca="false">FALSE()</f>
        <v>0</v>
      </c>
      <c r="AH26" s="1"/>
      <c r="AI26" s="18" t="n">
        <f aca="false">IF($B26="","",$AP$3)</f>
        <v>31</v>
      </c>
      <c r="AJ26" s="18" t="n">
        <f aca="false">IF($B26="","",COUNTIF(C26:AG26,TRUE()))</f>
        <v>0</v>
      </c>
      <c r="AK26" s="18" t="n">
        <f aca="false">IF($B26="","",AI26-AJ26)</f>
        <v>31</v>
      </c>
      <c r="AL26" s="19" t="n">
        <f aca="false">IF($B26="","",AJ26/AI26)</f>
        <v>0</v>
      </c>
      <c r="AM26" s="20" t="n">
        <f aca="false">IF($B26="","",AJ26/AI26)</f>
        <v>0</v>
      </c>
      <c r="AN26" s="21" t="n">
        <f aca="false">IF($B26="",-1,AM26-ROW()/100000)</f>
        <v>-0.00026</v>
      </c>
      <c r="AO26" s="1"/>
    </row>
    <row r="27" customFormat="false" ht="18" hidden="false" customHeight="true" outlineLevel="0" collapsed="false">
      <c r="A27" s="1"/>
      <c r="B27" s="16"/>
      <c r="C27" s="17" t="b">
        <f aca="false">FALSE()</f>
        <v>0</v>
      </c>
      <c r="D27" s="17" t="b">
        <f aca="false">FALSE()</f>
        <v>0</v>
      </c>
      <c r="E27" s="17" t="b">
        <f aca="false">FALSE()</f>
        <v>0</v>
      </c>
      <c r="F27" s="17" t="b">
        <f aca="false">FALSE()</f>
        <v>0</v>
      </c>
      <c r="G27" s="17" t="b">
        <f aca="false">FALSE()</f>
        <v>0</v>
      </c>
      <c r="H27" s="17" t="b">
        <f aca="false">FALSE()</f>
        <v>0</v>
      </c>
      <c r="I27" s="17" t="b">
        <f aca="false">FALSE()</f>
        <v>0</v>
      </c>
      <c r="J27" s="17" t="b">
        <f aca="false">FALSE()</f>
        <v>0</v>
      </c>
      <c r="K27" s="17" t="b">
        <f aca="false">FALSE()</f>
        <v>0</v>
      </c>
      <c r="L27" s="17" t="b">
        <f aca="false">FALSE()</f>
        <v>0</v>
      </c>
      <c r="M27" s="17" t="b">
        <f aca="false">FALSE()</f>
        <v>0</v>
      </c>
      <c r="N27" s="17" t="b">
        <f aca="false">FALSE()</f>
        <v>0</v>
      </c>
      <c r="O27" s="17" t="b">
        <f aca="false">FALSE()</f>
        <v>0</v>
      </c>
      <c r="P27" s="17" t="b">
        <f aca="false">FALSE()</f>
        <v>0</v>
      </c>
      <c r="Q27" s="17" t="b">
        <f aca="false">FALSE()</f>
        <v>0</v>
      </c>
      <c r="R27" s="17" t="b">
        <f aca="false">FALSE()</f>
        <v>0</v>
      </c>
      <c r="S27" s="17" t="b">
        <f aca="false">FALSE()</f>
        <v>0</v>
      </c>
      <c r="T27" s="17" t="b">
        <f aca="false">FALSE()</f>
        <v>0</v>
      </c>
      <c r="U27" s="17" t="b">
        <f aca="false">FALSE()</f>
        <v>0</v>
      </c>
      <c r="V27" s="17" t="b">
        <f aca="false">FALSE()</f>
        <v>0</v>
      </c>
      <c r="W27" s="17" t="b">
        <f aca="false">FALSE()</f>
        <v>0</v>
      </c>
      <c r="X27" s="17" t="b">
        <f aca="false">FALSE()</f>
        <v>0</v>
      </c>
      <c r="Y27" s="17" t="b">
        <f aca="false">FALSE()</f>
        <v>0</v>
      </c>
      <c r="Z27" s="17" t="b">
        <f aca="false">FALSE()</f>
        <v>0</v>
      </c>
      <c r="AA27" s="17" t="b">
        <f aca="false">FALSE()</f>
        <v>0</v>
      </c>
      <c r="AB27" s="17" t="b">
        <f aca="false">FALSE()</f>
        <v>0</v>
      </c>
      <c r="AC27" s="17" t="b">
        <f aca="false">FALSE()</f>
        <v>0</v>
      </c>
      <c r="AD27" s="17" t="b">
        <f aca="false">FALSE()</f>
        <v>0</v>
      </c>
      <c r="AE27" s="17" t="b">
        <f aca="false">FALSE()</f>
        <v>0</v>
      </c>
      <c r="AF27" s="17" t="b">
        <f aca="false">FALSE()</f>
        <v>0</v>
      </c>
      <c r="AG27" s="17" t="b">
        <f aca="false">FALSE()</f>
        <v>0</v>
      </c>
      <c r="AH27" s="1"/>
      <c r="AI27" s="18" t="str">
        <f aca="false">IF($B27="","",$AP$3)</f>
        <v/>
      </c>
      <c r="AJ27" s="18" t="str">
        <f aca="false">IF($B27="","",COUNTIF(C27:AG27,TRUE()))</f>
        <v/>
      </c>
      <c r="AK27" s="18" t="str">
        <f aca="false">IF($B27="","",AI27-AJ27)</f>
        <v/>
      </c>
      <c r="AL27" s="19" t="str">
        <f aca="false">IF($B27="","",AJ27/AI27)</f>
        <v/>
      </c>
      <c r="AM27" s="20" t="str">
        <f aca="false">IF($B27="","",AJ27/AI27)</f>
        <v/>
      </c>
      <c r="AN27" s="1" t="n">
        <f aca="false">IF($B27="",-1,AM27-ROW()/100000)</f>
        <v>-1</v>
      </c>
      <c r="AO27" s="1"/>
    </row>
    <row r="28" customFormat="false" ht="18" hidden="false" customHeight="true" outlineLevel="0" collapsed="false">
      <c r="A28" s="1"/>
      <c r="B28" s="16"/>
      <c r="C28" s="17" t="b">
        <f aca="false">FALSE()</f>
        <v>0</v>
      </c>
      <c r="D28" s="17" t="b">
        <f aca="false">FALSE()</f>
        <v>0</v>
      </c>
      <c r="E28" s="17" t="b">
        <f aca="false">FALSE()</f>
        <v>0</v>
      </c>
      <c r="F28" s="17" t="b">
        <f aca="false">FALSE()</f>
        <v>0</v>
      </c>
      <c r="G28" s="17" t="b">
        <f aca="false">FALSE()</f>
        <v>0</v>
      </c>
      <c r="H28" s="17" t="b">
        <f aca="false">FALSE()</f>
        <v>0</v>
      </c>
      <c r="I28" s="17" t="b">
        <f aca="false">FALSE()</f>
        <v>0</v>
      </c>
      <c r="J28" s="17" t="b">
        <f aca="false">FALSE()</f>
        <v>0</v>
      </c>
      <c r="K28" s="17" t="b">
        <f aca="false">FALSE()</f>
        <v>0</v>
      </c>
      <c r="L28" s="17" t="b">
        <f aca="false">FALSE()</f>
        <v>0</v>
      </c>
      <c r="M28" s="17" t="b">
        <f aca="false">FALSE()</f>
        <v>0</v>
      </c>
      <c r="N28" s="17" t="b">
        <f aca="false">FALSE()</f>
        <v>0</v>
      </c>
      <c r="O28" s="17" t="b">
        <f aca="false">FALSE()</f>
        <v>0</v>
      </c>
      <c r="P28" s="17" t="b">
        <f aca="false">FALSE()</f>
        <v>0</v>
      </c>
      <c r="Q28" s="17" t="b">
        <f aca="false">FALSE()</f>
        <v>0</v>
      </c>
      <c r="R28" s="17" t="b">
        <f aca="false">FALSE()</f>
        <v>0</v>
      </c>
      <c r="S28" s="17" t="b">
        <f aca="false">FALSE()</f>
        <v>0</v>
      </c>
      <c r="T28" s="17" t="b">
        <f aca="false">FALSE()</f>
        <v>0</v>
      </c>
      <c r="U28" s="17" t="b">
        <f aca="false">FALSE()</f>
        <v>0</v>
      </c>
      <c r="V28" s="17" t="b">
        <f aca="false">FALSE()</f>
        <v>0</v>
      </c>
      <c r="W28" s="17" t="b">
        <f aca="false">FALSE()</f>
        <v>0</v>
      </c>
      <c r="X28" s="17" t="b">
        <f aca="false">FALSE()</f>
        <v>0</v>
      </c>
      <c r="Y28" s="17" t="b">
        <f aca="false">FALSE()</f>
        <v>0</v>
      </c>
      <c r="Z28" s="17" t="b">
        <f aca="false">FALSE()</f>
        <v>0</v>
      </c>
      <c r="AA28" s="17" t="b">
        <f aca="false">FALSE()</f>
        <v>0</v>
      </c>
      <c r="AB28" s="17" t="b">
        <f aca="false">FALSE()</f>
        <v>0</v>
      </c>
      <c r="AC28" s="17" t="b">
        <f aca="false">FALSE()</f>
        <v>0</v>
      </c>
      <c r="AD28" s="17" t="b">
        <f aca="false">FALSE()</f>
        <v>0</v>
      </c>
      <c r="AE28" s="17" t="b">
        <f aca="false">FALSE()</f>
        <v>0</v>
      </c>
      <c r="AF28" s="17" t="b">
        <f aca="false">FALSE()</f>
        <v>0</v>
      </c>
      <c r="AG28" s="17" t="b">
        <f aca="false">FALSE()</f>
        <v>0</v>
      </c>
      <c r="AH28" s="1"/>
      <c r="AI28" s="18" t="str">
        <f aca="false">IF($B28="","",$AP$3)</f>
        <v/>
      </c>
      <c r="AJ28" s="18" t="str">
        <f aca="false">IF($B28="","",COUNTIF(C28:AG28,TRUE()))</f>
        <v/>
      </c>
      <c r="AK28" s="18" t="str">
        <f aca="false">IF($B28="","",AI28-AJ28)</f>
        <v/>
      </c>
      <c r="AL28" s="19" t="str">
        <f aca="false">IF($B28="","",AJ28/AI28)</f>
        <v/>
      </c>
      <c r="AM28" s="20" t="str">
        <f aca="false">IF($B28="","",AJ28/AI28)</f>
        <v/>
      </c>
      <c r="AN28" s="1" t="n">
        <f aca="false">IF($B28="",-1,AM28-ROW()/100000)</f>
        <v>-1</v>
      </c>
      <c r="AO28" s="1"/>
    </row>
    <row r="29" customFormat="false" ht="15" hidden="false" customHeight="false" outlineLevel="0" collapsed="false">
      <c r="A29" s="1"/>
      <c r="B29" s="22" t="s">
        <v>45</v>
      </c>
      <c r="C29" s="23" t="n">
        <f aca="false">IF(OR(C$16="",SUMPRODUCT(--(LEN($B$17:$B$28)&gt;0))=0),"",SUMPRODUCT(($B$17:$B$28&lt;&gt;"")*(C$17:C$28=TRUE()))/SUMPRODUCT(--(LEN($B$17:$B$28)&gt;0)))</f>
        <v>0</v>
      </c>
      <c r="D29" s="23" t="n">
        <f aca="false">IF(OR(D$16="",SUMPRODUCT(--(LEN($B$17:$B$28)&gt;0))=0),"",SUMPRODUCT(($B$17:$B$28&lt;&gt;"")*(D$17:D$28=TRUE()))/SUMPRODUCT(--(LEN($B$17:$B$28)&gt;0)))</f>
        <v>0</v>
      </c>
      <c r="E29" s="23" t="n">
        <f aca="false">IF(OR(E$16="",SUMPRODUCT(--(LEN($B$17:$B$28)&gt;0))=0),"",SUMPRODUCT(($B$17:$B$28&lt;&gt;"")*(E$17:E$28=TRUE()))/SUMPRODUCT(--(LEN($B$17:$B$28)&gt;0)))</f>
        <v>0</v>
      </c>
      <c r="F29" s="23" t="n">
        <f aca="false">IF(OR(F$16="",SUMPRODUCT(--(LEN($B$17:$B$28)&gt;0))=0),"",SUMPRODUCT(($B$17:$B$28&lt;&gt;"")*(F$17:F$28=TRUE()))/SUMPRODUCT(--(LEN($B$17:$B$28)&gt;0)))</f>
        <v>0</v>
      </c>
      <c r="G29" s="23" t="n">
        <f aca="false">IF(OR(G$16="",SUMPRODUCT(--(LEN($B$17:$B$28)&gt;0))=0),"",SUMPRODUCT(($B$17:$B$28&lt;&gt;"")*(G$17:G$28=TRUE()))/SUMPRODUCT(--(LEN($B$17:$B$28)&gt;0)))</f>
        <v>0</v>
      </c>
      <c r="H29" s="23" t="n">
        <f aca="false">IF(OR(H$16="",SUMPRODUCT(--(LEN($B$17:$B$28)&gt;0))=0),"",SUMPRODUCT(($B$17:$B$28&lt;&gt;"")*(H$17:H$28=TRUE()))/SUMPRODUCT(--(LEN($B$17:$B$28)&gt;0)))</f>
        <v>0</v>
      </c>
      <c r="I29" s="23" t="n">
        <f aca="false">IF(OR(I$16="",SUMPRODUCT(--(LEN($B$17:$B$28)&gt;0))=0),"",SUMPRODUCT(($B$17:$B$28&lt;&gt;"")*(I$17:I$28=TRUE()))/SUMPRODUCT(--(LEN($B$17:$B$28)&gt;0)))</f>
        <v>0</v>
      </c>
      <c r="J29" s="23" t="n">
        <f aca="false">IF(OR(J$16="",SUMPRODUCT(--(LEN($B$17:$B$28)&gt;0))=0),"",SUMPRODUCT(($B$17:$B$28&lt;&gt;"")*(J$17:J$28=TRUE()))/SUMPRODUCT(--(LEN($B$17:$B$28)&gt;0)))</f>
        <v>0</v>
      </c>
      <c r="K29" s="23" t="n">
        <f aca="false">IF(OR(K$16="",SUMPRODUCT(--(LEN($B$17:$B$28)&gt;0))=0),"",SUMPRODUCT(($B$17:$B$28&lt;&gt;"")*(K$17:K$28=TRUE()))/SUMPRODUCT(--(LEN($B$17:$B$28)&gt;0)))</f>
        <v>0</v>
      </c>
      <c r="L29" s="23" t="n">
        <f aca="false">IF(OR(L$16="",SUMPRODUCT(--(LEN($B$17:$B$28)&gt;0))=0),"",SUMPRODUCT(($B$17:$B$28&lt;&gt;"")*(L$17:L$28=TRUE()))/SUMPRODUCT(--(LEN($B$17:$B$28)&gt;0)))</f>
        <v>0</v>
      </c>
      <c r="M29" s="23" t="n">
        <f aca="false">IF(OR(M$16="",SUMPRODUCT(--(LEN($B$17:$B$28)&gt;0))=0),"",SUMPRODUCT(($B$17:$B$28&lt;&gt;"")*(M$17:M$28=TRUE()))/SUMPRODUCT(--(LEN($B$17:$B$28)&gt;0)))</f>
        <v>0</v>
      </c>
      <c r="N29" s="23" t="n">
        <f aca="false">IF(OR(N$16="",SUMPRODUCT(--(LEN($B$17:$B$28)&gt;0))=0),"",SUMPRODUCT(($B$17:$B$28&lt;&gt;"")*(N$17:N$28=TRUE()))/SUMPRODUCT(--(LEN($B$17:$B$28)&gt;0)))</f>
        <v>0</v>
      </c>
      <c r="O29" s="23" t="n">
        <f aca="false">IF(OR(O$16="",SUMPRODUCT(--(LEN($B$17:$B$28)&gt;0))=0),"",SUMPRODUCT(($B$17:$B$28&lt;&gt;"")*(O$17:O$28=TRUE()))/SUMPRODUCT(--(LEN($B$17:$B$28)&gt;0)))</f>
        <v>0</v>
      </c>
      <c r="P29" s="23" t="n">
        <f aca="false">IF(OR(P$16="",SUMPRODUCT(--(LEN($B$17:$B$28)&gt;0))=0),"",SUMPRODUCT(($B$17:$B$28&lt;&gt;"")*(P$17:P$28=TRUE()))/SUMPRODUCT(--(LEN($B$17:$B$28)&gt;0)))</f>
        <v>0</v>
      </c>
      <c r="Q29" s="23" t="n">
        <f aca="false">IF(OR(Q$16="",SUMPRODUCT(--(LEN($B$17:$B$28)&gt;0))=0),"",SUMPRODUCT(($B$17:$B$28&lt;&gt;"")*(Q$17:Q$28=TRUE()))/SUMPRODUCT(--(LEN($B$17:$B$28)&gt;0)))</f>
        <v>0</v>
      </c>
      <c r="R29" s="23" t="n">
        <f aca="false">IF(OR(R$16="",SUMPRODUCT(--(LEN($B$17:$B$28)&gt;0))=0),"",SUMPRODUCT(($B$17:$B$28&lt;&gt;"")*(R$17:R$28=TRUE()))/SUMPRODUCT(--(LEN($B$17:$B$28)&gt;0)))</f>
        <v>0</v>
      </c>
      <c r="S29" s="23" t="n">
        <f aca="false">IF(OR(S$16="",SUMPRODUCT(--(LEN($B$17:$B$28)&gt;0))=0),"",SUMPRODUCT(($B$17:$B$28&lt;&gt;"")*(S$17:S$28=TRUE()))/SUMPRODUCT(--(LEN($B$17:$B$28)&gt;0)))</f>
        <v>0</v>
      </c>
      <c r="T29" s="23" t="n">
        <f aca="false">IF(OR(T$16="",SUMPRODUCT(--(LEN($B$17:$B$28)&gt;0))=0),"",SUMPRODUCT(($B$17:$B$28&lt;&gt;"")*(T$17:T$28=TRUE()))/SUMPRODUCT(--(LEN($B$17:$B$28)&gt;0)))</f>
        <v>0</v>
      </c>
      <c r="U29" s="23" t="n">
        <f aca="false">IF(OR(U$16="",SUMPRODUCT(--(LEN($B$17:$B$28)&gt;0))=0),"",SUMPRODUCT(($B$17:$B$28&lt;&gt;"")*(U$17:U$28=TRUE()))/SUMPRODUCT(--(LEN($B$17:$B$28)&gt;0)))</f>
        <v>0</v>
      </c>
      <c r="V29" s="23" t="n">
        <f aca="false">IF(OR(V$16="",SUMPRODUCT(--(LEN($B$17:$B$28)&gt;0))=0),"",SUMPRODUCT(($B$17:$B$28&lt;&gt;"")*(V$17:V$28=TRUE()))/SUMPRODUCT(--(LEN($B$17:$B$28)&gt;0)))</f>
        <v>0</v>
      </c>
      <c r="W29" s="23" t="n">
        <f aca="false">IF(OR(W$16="",SUMPRODUCT(--(LEN($B$17:$B$28)&gt;0))=0),"",SUMPRODUCT(($B$17:$B$28&lt;&gt;"")*(W$17:W$28=TRUE()))/SUMPRODUCT(--(LEN($B$17:$B$28)&gt;0)))</f>
        <v>0</v>
      </c>
      <c r="X29" s="23" t="n">
        <f aca="false">IF(OR(X$16="",SUMPRODUCT(--(LEN($B$17:$B$28)&gt;0))=0),"",SUMPRODUCT(($B$17:$B$28&lt;&gt;"")*(X$17:X$28=TRUE()))/SUMPRODUCT(--(LEN($B$17:$B$28)&gt;0)))</f>
        <v>0</v>
      </c>
      <c r="Y29" s="23" t="n">
        <f aca="false">IF(OR(Y$16="",SUMPRODUCT(--(LEN($B$17:$B$28)&gt;0))=0),"",SUMPRODUCT(($B$17:$B$28&lt;&gt;"")*(Y$17:Y$28=TRUE()))/SUMPRODUCT(--(LEN($B$17:$B$28)&gt;0)))</f>
        <v>0</v>
      </c>
      <c r="Z29" s="23" t="n">
        <f aca="false">IF(OR(Z$16="",SUMPRODUCT(--(LEN($B$17:$B$28)&gt;0))=0),"",SUMPRODUCT(($B$17:$B$28&lt;&gt;"")*(Z$17:Z$28=TRUE()))/SUMPRODUCT(--(LEN($B$17:$B$28)&gt;0)))</f>
        <v>0</v>
      </c>
      <c r="AA29" s="23" t="n">
        <f aca="false">IF(OR(AA$16="",SUMPRODUCT(--(LEN($B$17:$B$28)&gt;0))=0),"",SUMPRODUCT(($B$17:$B$28&lt;&gt;"")*(AA$17:AA$28=TRUE()))/SUMPRODUCT(--(LEN($B$17:$B$28)&gt;0)))</f>
        <v>0</v>
      </c>
      <c r="AB29" s="23" t="n">
        <f aca="false">IF(OR(AB$16="",SUMPRODUCT(--(LEN($B$17:$B$28)&gt;0))=0),"",SUMPRODUCT(($B$17:$B$28&lt;&gt;"")*(AB$17:AB$28=TRUE()))/SUMPRODUCT(--(LEN($B$17:$B$28)&gt;0)))</f>
        <v>0</v>
      </c>
      <c r="AC29" s="23" t="n">
        <f aca="false">IF(OR(AC$16="",SUMPRODUCT(--(LEN($B$17:$B$28)&gt;0))=0),"",SUMPRODUCT(($B$17:$B$28&lt;&gt;"")*(AC$17:AC$28=TRUE()))/SUMPRODUCT(--(LEN($B$17:$B$28)&gt;0)))</f>
        <v>0</v>
      </c>
      <c r="AD29" s="23" t="n">
        <f aca="false">IF(OR(AD$16="",SUMPRODUCT(--(LEN($B$17:$B$28)&gt;0))=0),"",SUMPRODUCT(($B$17:$B$28&lt;&gt;"")*(AD$17:AD$28=TRUE()))/SUMPRODUCT(--(LEN($B$17:$B$28)&gt;0)))</f>
        <v>0</v>
      </c>
      <c r="AE29" s="23" t="n">
        <f aca="false">IF(OR(AE$16="",SUMPRODUCT(--(LEN($B$17:$B$28)&gt;0))=0),"",SUMPRODUCT(($B$17:$B$28&lt;&gt;"")*(AE$17:AE$28=TRUE()))/SUMPRODUCT(--(LEN($B$17:$B$28)&gt;0)))</f>
        <v>0</v>
      </c>
      <c r="AF29" s="23" t="n">
        <f aca="false">IF(OR(AF$16="",SUMPRODUCT(--(LEN($B$17:$B$28)&gt;0))=0),"",SUMPRODUCT(($B$17:$B$28&lt;&gt;"")*(AF$17:AF$28=TRUE()))/SUMPRODUCT(--(LEN($B$17:$B$28)&gt;0)))</f>
        <v>0</v>
      </c>
      <c r="AG29" s="23" t="n">
        <f aca="false">IF(OR(AG$16="",SUMPRODUCT(--(LEN($B$17:$B$28)&gt;0))=0),"",SUMPRODUCT(($B$17:$B$28&lt;&gt;"")*(AG$17:AG$28=TRUE()))/SUMPRODUCT(--(LEN($B$17:$B$28)&gt;0)))</f>
        <v>0</v>
      </c>
      <c r="AH29" s="1"/>
      <c r="AI29" s="1"/>
      <c r="AJ29" s="1"/>
      <c r="AK29" s="1"/>
      <c r="AL29" s="1"/>
      <c r="AM29" s="1"/>
      <c r="AN29" s="1"/>
      <c r="AO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</row>
    <row r="31" customFormat="false" ht="15" hidden="false" customHeight="false" outlineLevel="0" collapsed="false">
      <c r="A31" s="1"/>
      <c r="B31" s="24"/>
      <c r="C31" s="12" t="s">
        <v>46</v>
      </c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"/>
      <c r="AI31" s="25" t="s">
        <v>47</v>
      </c>
      <c r="AJ31" s="25"/>
      <c r="AK31" s="25"/>
      <c r="AL31" s="25"/>
      <c r="AM31" s="25"/>
      <c r="AN31" s="1"/>
      <c r="AO31" s="1"/>
    </row>
    <row r="32" customFormat="false" ht="15.75" hidden="false" customHeight="true" outlineLevel="0" collapsed="false">
      <c r="A32" s="1"/>
      <c r="B32" s="7" t="s">
        <v>48</v>
      </c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1"/>
      <c r="AI32" s="27" t="n">
        <v>1</v>
      </c>
      <c r="AJ32" s="28" t="str">
        <f aca="false">IF(LARGE($AN$17:$AN$28,1)&lt;0,"",INDEX($B$17:$B$28,MATCH(LARGE($AN$17:$AN$28,1),$AN$17:$AN$28,0)))</f>
        <v/>
      </c>
      <c r="AK32" s="28"/>
      <c r="AL32" s="28"/>
      <c r="AM32" s="29" t="str">
        <f aca="false">IF(AJ32="","",INDEX($AM$17:$AM$28,MATCH(LARGE($AN$17:$AN$28,1),$AN$17:$AN$28,0)))</f>
        <v/>
      </c>
      <c r="AN32" s="1"/>
      <c r="AO32" s="1"/>
    </row>
    <row r="33" customFormat="false" ht="15.75" hidden="false" customHeight="true" outlineLevel="0" collapsed="false">
      <c r="A33" s="1"/>
      <c r="B33" s="7" t="s">
        <v>49</v>
      </c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1"/>
      <c r="AI33" s="27" t="n">
        <v>2</v>
      </c>
      <c r="AJ33" s="28" t="str">
        <f aca="false">IF(LARGE($AN$17:$AN$28,2)&lt;0,"",INDEX($B$17:$B$28,MATCH(LARGE($AN$17:$AN$28,2),$AN$17:$AN$28,0)))</f>
        <v/>
      </c>
      <c r="AK33" s="28"/>
      <c r="AL33" s="28"/>
      <c r="AM33" s="29" t="str">
        <f aca="false">IF(AJ33="","",INDEX($AM$17:$AM$28,MATCH(LARGE($AN$17:$AN$28,2),$AN$17:$AN$28,0)))</f>
        <v/>
      </c>
      <c r="AN33" s="1"/>
      <c r="AO33" s="1"/>
    </row>
    <row r="34" customFormat="false" ht="15.75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27" t="n">
        <v>3</v>
      </c>
      <c r="AJ34" s="28" t="str">
        <f aca="false">IF(LARGE($AN$17:$AN$28,3)&lt;0,"",INDEX($B$17:$B$28,MATCH(LARGE($AN$17:$AN$28,3),$AN$17:$AN$28,0)))</f>
        <v/>
      </c>
      <c r="AK34" s="28"/>
      <c r="AL34" s="28"/>
      <c r="AM34" s="29" t="str">
        <f aca="false">IF(AJ34="","",INDEX($AM$17:$AM$28,MATCH(LARGE($AN$17:$AN$28,3),$AN$17:$AN$28,0)))</f>
        <v/>
      </c>
      <c r="AN34" s="1"/>
      <c r="AO34" s="1"/>
    </row>
    <row r="35" customFormat="false" ht="15.75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27" t="n">
        <v>4</v>
      </c>
      <c r="AJ35" s="28" t="str">
        <f aca="false">IF(LARGE($AN$17:$AN$28,4)&lt;0,"",INDEX($B$17:$B$28,MATCH(LARGE($AN$17:$AN$28,4),$AN$17:$AN$28,0)))</f>
        <v/>
      </c>
      <c r="AK35" s="28"/>
      <c r="AL35" s="28"/>
      <c r="AM35" s="29" t="str">
        <f aca="false">IF(AJ35="","",INDEX($AM$17:$AM$28,MATCH(LARGE($AN$17:$AN$28,4),$AN$17:$AN$28,0)))</f>
        <v/>
      </c>
      <c r="AN35" s="1"/>
      <c r="AO35" s="1"/>
    </row>
    <row r="36" customFormat="false" ht="15.75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27" t="n">
        <v>5</v>
      </c>
      <c r="AJ36" s="28" t="str">
        <f aca="false">IF(LARGE($AN$17:$AN$28,5)&lt;0,"",INDEX($B$17:$B$28,MATCH(LARGE($AN$17:$AN$28,5),$AN$17:$AN$28,0)))</f>
        <v/>
      </c>
      <c r="AK36" s="28"/>
      <c r="AL36" s="28"/>
      <c r="AM36" s="29" t="str">
        <f aca="false">IF(AJ36="","",INDEX($AM$17:$AM$28,MATCH(LARGE($AN$17:$AN$28,5),$AN$17:$AN$28,0)))</f>
        <v/>
      </c>
      <c r="AN36" s="1"/>
      <c r="AO36" s="1"/>
    </row>
    <row r="37" customFormat="false" ht="15.75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27" t="n">
        <v>6</v>
      </c>
      <c r="AJ37" s="28" t="str">
        <f aca="false">IF(LARGE($AN$17:$AN$28,6)&lt;0,"",INDEX($B$17:$B$28,MATCH(LARGE($AN$17:$AN$28,6),$AN$17:$AN$28,0)))</f>
        <v/>
      </c>
      <c r="AK37" s="28"/>
      <c r="AL37" s="28"/>
      <c r="AM37" s="29" t="str">
        <f aca="false">IF(AJ37="","",INDEX($AM$17:$AM$28,MATCH(LARGE($AN$17:$AN$28,6),$AN$17:$AN$28,0)))</f>
        <v/>
      </c>
      <c r="AN37" s="1"/>
      <c r="AO37" s="1"/>
    </row>
    <row r="38" customFormat="false" ht="15.75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27" t="n">
        <v>7</v>
      </c>
      <c r="AJ38" s="28" t="str">
        <f aca="false">IF(LARGE($AN$17:$AN$28,7)&lt;0,"",INDEX($B$17:$B$28,MATCH(LARGE($AN$17:$AN$28,7),$AN$17:$AN$28,0)))</f>
        <v/>
      </c>
      <c r="AK38" s="28"/>
      <c r="AL38" s="28"/>
      <c r="AM38" s="29" t="str">
        <f aca="false">IF(AJ38="","",INDEX($AM$17:$AM$28,MATCH(LARGE($AN$17:$AN$28,7),$AN$17:$AN$28,0)))</f>
        <v/>
      </c>
      <c r="AN38" s="1"/>
      <c r="AO38" s="1"/>
    </row>
    <row r="39" customFormat="false" ht="15.75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27" t="n">
        <v>8</v>
      </c>
      <c r="AJ39" s="28" t="str">
        <f aca="false">IF(LARGE($AN$17:$AN$28,8)&lt;0,"",INDEX($B$17:$B$28,MATCH(LARGE($AN$17:$AN$28,8),$AN$17:$AN$28,0)))</f>
        <v/>
      </c>
      <c r="AK39" s="28"/>
      <c r="AL39" s="28"/>
      <c r="AM39" s="29" t="str">
        <f aca="false">IF(AJ39="","",INDEX($AM$17:$AM$28,MATCH(LARGE($AN$17:$AN$28,8),$AN$17:$AN$28,0)))</f>
        <v/>
      </c>
      <c r="AN39" s="1"/>
      <c r="AO39" s="1"/>
    </row>
    <row r="40" customFormat="false" ht="15.75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27" t="n">
        <v>9</v>
      </c>
      <c r="AJ40" s="28" t="str">
        <f aca="false">IF(LARGE($AN$17:$AN$28,9)&lt;0,"",INDEX($B$17:$B$28,MATCH(LARGE($AN$17:$AN$28,9),$AN$17:$AN$28,0)))</f>
        <v/>
      </c>
      <c r="AK40" s="28"/>
      <c r="AL40" s="28"/>
      <c r="AM40" s="29" t="str">
        <f aca="false">IF(AJ40="","",INDEX($AM$17:$AM$28,MATCH(LARGE($AN$17:$AN$28,9),$AN$17:$AN$28,0)))</f>
        <v/>
      </c>
      <c r="AN40" s="1"/>
      <c r="AO40" s="1"/>
    </row>
    <row r="41" customFormat="false" ht="15.75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27" t="n">
        <v>10</v>
      </c>
      <c r="AJ41" s="28" t="str">
        <f aca="false">IF(LARGE($AN$17:$AN$28,10)&lt;0,"",INDEX($B$17:$B$28,MATCH(LARGE($AN$17:$AN$28,10),$AN$17:$AN$28,0)))</f>
        <v/>
      </c>
      <c r="AK41" s="28"/>
      <c r="AL41" s="28"/>
      <c r="AM41" s="29" t="str">
        <f aca="false">IF(AJ41="","",INDEX($AM$17:$AM$28,MATCH(LARGE($AN$17:$AN$28,10),$AN$17:$AN$28,0)))</f>
        <v/>
      </c>
      <c r="AN41" s="1"/>
      <c r="AO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</row>
    <row r="48" customFormat="false" ht="15" hidden="true" customHeight="false" outlineLevel="0" collapsed="false">
      <c r="A48" s="1"/>
      <c r="B48" s="1"/>
      <c r="C48" s="1" t="str">
        <f aca="false">IF(C$16="","",C$15)</f>
        <v>Th</v>
      </c>
      <c r="D48" s="1" t="str">
        <f aca="false">IF(D$16="","",D$15)</f>
        <v>Fr</v>
      </c>
      <c r="E48" s="1" t="str">
        <f aca="false">IF(E$16="","",E$15)</f>
        <v>Sa</v>
      </c>
      <c r="F48" s="1" t="str">
        <f aca="false">IF(F$16="","",F$15)</f>
        <v>Su</v>
      </c>
      <c r="G48" s="1" t="str">
        <f aca="false">IF(G$16="","",G$15)</f>
        <v>Mo</v>
      </c>
      <c r="H48" s="1" t="str">
        <f aca="false">IF(H$16="","",H$15)</f>
        <v>Tu</v>
      </c>
      <c r="I48" s="1" t="str">
        <f aca="false">IF(I$16="","",I$15)</f>
        <v>We</v>
      </c>
      <c r="J48" s="1" t="str">
        <f aca="false">IF(J$16="","",J$15)</f>
        <v>Th</v>
      </c>
      <c r="K48" s="1" t="str">
        <f aca="false">IF(K$16="","",K$15)</f>
        <v>Fr</v>
      </c>
      <c r="L48" s="1" t="str">
        <f aca="false">IF(L$16="","",L$15)</f>
        <v>Sa</v>
      </c>
      <c r="M48" s="1" t="str">
        <f aca="false">IF(M$16="","",M$15)</f>
        <v>Su</v>
      </c>
      <c r="N48" s="1" t="str">
        <f aca="false">IF(N$16="","",N$15)</f>
        <v>Mo</v>
      </c>
      <c r="O48" s="1" t="str">
        <f aca="false">IF(O$16="","",O$15)</f>
        <v>Tu</v>
      </c>
      <c r="P48" s="1" t="str">
        <f aca="false">IF(P$16="","",P$15)</f>
        <v>We</v>
      </c>
      <c r="Q48" s="1" t="str">
        <f aca="false">IF(Q$16="","",Q$15)</f>
        <v>Th</v>
      </c>
      <c r="R48" s="1" t="str">
        <f aca="false">IF(R$16="","",R$15)</f>
        <v>Fr</v>
      </c>
      <c r="S48" s="1" t="str">
        <f aca="false">IF(S$16="","",S$15)</f>
        <v>Sa</v>
      </c>
      <c r="T48" s="1" t="str">
        <f aca="false">IF(T$16="","",T$15)</f>
        <v>Su</v>
      </c>
      <c r="U48" s="1" t="str">
        <f aca="false">IF(U$16="","",U$15)</f>
        <v>Mo</v>
      </c>
      <c r="V48" s="1" t="str">
        <f aca="false">IF(V$16="","",V$15)</f>
        <v>Tu</v>
      </c>
      <c r="W48" s="1" t="str">
        <f aca="false">IF(W$16="","",W$15)</f>
        <v>We</v>
      </c>
      <c r="X48" s="1" t="str">
        <f aca="false">IF(X$16="","",X$15)</f>
        <v>Th</v>
      </c>
      <c r="Y48" s="1" t="str">
        <f aca="false">IF(Y$16="","",Y$15)</f>
        <v>Fr</v>
      </c>
      <c r="Z48" s="1" t="str">
        <f aca="false">IF(Z$16="","",Z$15)</f>
        <v>Sa</v>
      </c>
      <c r="AA48" s="1" t="str">
        <f aca="false">IF(AA$16="","",AA$15)</f>
        <v>Su</v>
      </c>
      <c r="AB48" s="1" t="str">
        <f aca="false">IF(AB$16="","",AB$15)</f>
        <v>Mo</v>
      </c>
      <c r="AC48" s="1" t="str">
        <f aca="false">IF(AC$16="","",AC$15)</f>
        <v>Tu</v>
      </c>
      <c r="AD48" s="1" t="str">
        <f aca="false">IF(AD$16="","",AD$15)</f>
        <v>We</v>
      </c>
      <c r="AE48" s="1" t="str">
        <f aca="false">IF(AE$16="","",AE$15)</f>
        <v>Th</v>
      </c>
      <c r="AF48" s="1" t="str">
        <f aca="false">IF(AF$16="","",AF$15)</f>
        <v>Fr</v>
      </c>
      <c r="AG48" s="1" t="str">
        <f aca="false">IF(AG$16="","",AG$15)</f>
        <v>Sa</v>
      </c>
      <c r="AH48" s="1"/>
      <c r="AI48" s="1"/>
      <c r="AJ48" s="1"/>
      <c r="AK48" s="1"/>
      <c r="AL48" s="1"/>
      <c r="AM48" s="1"/>
      <c r="AN48" s="1"/>
      <c r="AO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</row>
  </sheetData>
  <mergeCells count="31">
    <mergeCell ref="B2:B3"/>
    <mergeCell ref="C2:Z2"/>
    <mergeCell ref="AA2:AG2"/>
    <mergeCell ref="AI2:AJ2"/>
    <mergeCell ref="AK2:AM2"/>
    <mergeCell ref="AI3:AJ4"/>
    <mergeCell ref="AK3:AM4"/>
    <mergeCell ref="AI5:AJ5"/>
    <mergeCell ref="AI6:AJ7"/>
    <mergeCell ref="AI8:AJ8"/>
    <mergeCell ref="AI9:AJ10"/>
    <mergeCell ref="B10:B12"/>
    <mergeCell ref="B14:B16"/>
    <mergeCell ref="C14:I14"/>
    <mergeCell ref="J14:P14"/>
    <mergeCell ref="Q14:W14"/>
    <mergeCell ref="X14:AD14"/>
    <mergeCell ref="AE14:AG14"/>
    <mergeCell ref="AI14:AM15"/>
    <mergeCell ref="C31:AG31"/>
    <mergeCell ref="AI31:AM31"/>
    <mergeCell ref="AJ32:AL32"/>
    <mergeCell ref="AJ33:AL33"/>
    <mergeCell ref="AJ34:AL34"/>
    <mergeCell ref="AJ35:AL35"/>
    <mergeCell ref="AJ36:AL36"/>
    <mergeCell ref="AJ37:AL37"/>
    <mergeCell ref="AJ38:AL38"/>
    <mergeCell ref="AJ39:AL39"/>
    <mergeCell ref="AJ40:AL40"/>
    <mergeCell ref="AJ41:AL41"/>
  </mergeCells>
  <conditionalFormatting sqref="C17:AG28">
    <cfRule type="expression" priority="2" aboveAverage="0" equalAverage="0" bottom="0" percent="0" rank="0" text="" dxfId="0">
      <formula>C$16=""</formula>
    </cfRule>
    <cfRule type="expression" priority="3" aboveAverage="0" equalAverage="0" bottom="0" percent="0" rank="0" text="" dxfId="1">
      <formula>C17=1</formula>
    </cfRule>
    <cfRule type="expression" priority="4" aboveAverage="0" equalAverage="0" bottom="0" percent="0" rank="0" text="" dxfId="2">
      <formula>C17=0</formula>
    </cfRule>
  </conditionalFormatting>
  <conditionalFormatting sqref="C32:AG33">
    <cfRule type="expression" priority="5" aboveAverage="0" equalAverage="0" bottom="0" percent="0" rank="0" text="" dxfId="3">
      <formula>C$16=""</formula>
    </cfRule>
  </conditionalFormatting>
  <conditionalFormatting sqref="AL17:AL28">
    <cfRule type="dataBar" priority="6">
      <dataBar showValue="1" minLength="10" maxLength="90">
        <cfvo type="num" val="0"/>
        <cfvo type="num" val="1"/>
        <color rgb="FF1F2433"/>
      </dataBar>
      <extLst>
        <ext xmlns:x14="http://schemas.microsoft.com/office/spreadsheetml/2009/9/main" uri="{B025F937-C7B1-47D3-B67F-A62EFF666E3E}">
          <x14:id>{44C6D6DA-58CA-407D-91F1-3CF341BE4DF0}</x14:id>
        </ext>
      </extLst>
    </cfRule>
  </conditionalFormatting>
  <dataValidations count="4">
    <dataValidation allowBlank="false" errorStyle="stop" operator="between" showDropDown="false" showErrorMessage="false" showInputMessage="false" sqref="B9" type="list">
      <formula1>"January,February,March,April,May,June,July,August,September,October,November,December"</formula1>
      <formula2>0</formula2>
    </dataValidation>
    <dataValidation allowBlank="true" errorStyle="stop" operator="between" showDropDown="false" showErrorMessage="false" showInputMessage="false" sqref="C17:AG28" type="list">
      <formula1>"TRUE,FALSE"</formula1>
      <formula2>0</formula2>
    </dataValidation>
    <dataValidation allowBlank="true" errorStyle="stop" operator="between" showDropDown="false" showErrorMessage="false" showInputMessage="false" sqref="C32:AG32" type="list">
      <formula1>"1,2,3,4,5,6,7,8,9,10"</formula1>
      <formula2>0</formula2>
    </dataValidation>
    <dataValidation allowBlank="true" errorStyle="stop" operator="between" showDropDown="false" showErrorMessage="false" showInputMessage="false" sqref="C33:AG33" type="list">
      <formula1>"0,1,2,3,4,5,6,7,8,9,10,11,12"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4C6D6DA-58CA-407D-91F1-3CF341BE4DF0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1F2433"/>
              <x14:axisColor rgb="FF000000"/>
            </x14:dataBar>
          </x14:cfRule>
          <xm:sqref>AL17:AL28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433"/>
    <pageSetUpPr fitToPage="false"/>
  </sheetPr>
  <dimension ref="A1:AQ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0" topLeftCell="C1" activePane="topRight" state="frozen"/>
      <selection pane="topLeft" activeCell="A1" activeCellId="0" sqref="A1"/>
      <selection pane="top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3" min="3" style="0" width="3.9"/>
    <col collapsed="false" customWidth="true" hidden="false" outlineLevel="0" max="34" min="34" style="0" width="2"/>
    <col collapsed="false" customWidth="true" hidden="false" outlineLevel="0" max="36" min="35" style="0" width="8"/>
    <col collapsed="false" customWidth="true" hidden="false" outlineLevel="0" max="37" min="37" style="0" width="7"/>
    <col collapsed="false" customWidth="true" hidden="false" outlineLevel="0" max="38" min="38" style="0" width="14"/>
    <col collapsed="false" customWidth="true" hidden="false" outlineLevel="0" max="39" min="39" style="0" width="8"/>
    <col collapsed="false" customWidth="true" hidden="true" outlineLevel="0" max="43" min="40" style="0" width="13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Q1" s="2" t="s">
        <v>0</v>
      </c>
    </row>
    <row r="2" customFormat="false" ht="21.75" hidden="false" customHeight="true" outlineLevel="0" collapsed="false">
      <c r="A2" s="1"/>
      <c r="B2" s="3" t="s">
        <v>1</v>
      </c>
      <c r="C2" s="4" t="s">
        <v>2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 t="s">
        <v>3</v>
      </c>
      <c r="AB2" s="4"/>
      <c r="AC2" s="4"/>
      <c r="AD2" s="4"/>
      <c r="AE2" s="4"/>
      <c r="AF2" s="4"/>
      <c r="AG2" s="4"/>
      <c r="AH2" s="1"/>
      <c r="AI2" s="4" t="s">
        <v>4</v>
      </c>
      <c r="AJ2" s="4"/>
      <c r="AK2" s="4" t="s">
        <v>5</v>
      </c>
      <c r="AL2" s="4"/>
      <c r="AM2" s="4"/>
      <c r="AN2" s="1"/>
      <c r="AO2" s="1" t="s">
        <v>6</v>
      </c>
      <c r="AP2" s="2" t="n">
        <f aca="false">MATCH($B$9,$AQ$1:$AQ$12,0)</f>
        <v>11</v>
      </c>
      <c r="AQ2" s="2" t="s">
        <v>7</v>
      </c>
    </row>
    <row r="3" customFormat="false" ht="15.75" hidden="false" customHeight="true" outlineLevel="0" collapsed="false">
      <c r="A3" s="1"/>
      <c r="B3" s="3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5" t="n">
        <f aca="false">SUMPRODUCT(--(LEN($B$17:$B$28)&gt;0))*$AP$3</f>
        <v>300</v>
      </c>
      <c r="AJ3" s="5"/>
      <c r="AK3" s="6" t="n">
        <f aca="false">IF(AI3=0,0,AI6/AI3)</f>
        <v>0</v>
      </c>
      <c r="AL3" s="6"/>
      <c r="AM3" s="6"/>
      <c r="AN3" s="1"/>
      <c r="AO3" s="1" t="s">
        <v>8</v>
      </c>
      <c r="AP3" s="2" t="n">
        <f aca="false">DAY(DATE($B$7,$AP$2+1,0))</f>
        <v>30</v>
      </c>
      <c r="AQ3" s="2" t="s">
        <v>9</v>
      </c>
    </row>
    <row r="4" customFormat="false" ht="15.7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5"/>
      <c r="AJ4" s="5"/>
      <c r="AK4" s="6"/>
      <c r="AL4" s="6"/>
      <c r="AM4" s="6"/>
      <c r="AN4" s="1"/>
      <c r="AO4" s="1"/>
      <c r="AQ4" s="2" t="s">
        <v>10</v>
      </c>
    </row>
    <row r="5" customFormat="false" ht="15.75" hidden="false" customHeight="true" outlineLevel="0" collapsed="false">
      <c r="A5" s="1"/>
      <c r="B5" s="7" t="s">
        <v>11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4" t="s">
        <v>12</v>
      </c>
      <c r="AJ5" s="4"/>
      <c r="AK5" s="1"/>
      <c r="AL5" s="1"/>
      <c r="AM5" s="1"/>
      <c r="AN5" s="1"/>
      <c r="AO5" s="1" t="s">
        <v>12</v>
      </c>
      <c r="AP5" s="2" t="n">
        <f aca="false">AI6</f>
        <v>0</v>
      </c>
      <c r="AQ5" s="2" t="s">
        <v>13</v>
      </c>
    </row>
    <row r="6" customFormat="false" ht="15.75" hidden="false" customHeight="true" outlineLevel="0" collapsed="false">
      <c r="A6" s="1"/>
      <c r="B6" s="8" t="s">
        <v>14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5" t="n">
        <f aca="false">SUMPRODUCT(($B$17:$B$28&lt;&gt;"")*($C$17:$AG$28=TRUE()))</f>
        <v>0</v>
      </c>
      <c r="AJ6" s="5"/>
      <c r="AK6" s="1"/>
      <c r="AL6" s="1"/>
      <c r="AM6" s="1"/>
      <c r="AN6" s="1"/>
      <c r="AO6" s="1" t="s">
        <v>15</v>
      </c>
      <c r="AP6" s="2" t="n">
        <f aca="false">AI9</f>
        <v>300</v>
      </c>
      <c r="AQ6" s="2" t="s">
        <v>16</v>
      </c>
    </row>
    <row r="7" customFormat="false" ht="15.75" hidden="false" customHeight="true" outlineLevel="0" collapsed="false">
      <c r="A7" s="1"/>
      <c r="B7" s="30" t="n">
        <f aca="false">January!$B$7</f>
        <v>2026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5"/>
      <c r="AJ7" s="5"/>
      <c r="AK7" s="1"/>
      <c r="AL7" s="1"/>
      <c r="AM7" s="1"/>
      <c r="AN7" s="1"/>
      <c r="AO7" s="1"/>
      <c r="AQ7" s="2" t="s">
        <v>17</v>
      </c>
    </row>
    <row r="8" customFormat="false" ht="15.75" hidden="false" customHeight="true" outlineLevel="0" collapsed="false">
      <c r="A8" s="1"/>
      <c r="B8" s="8" t="s">
        <v>18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4" t="s">
        <v>15</v>
      </c>
      <c r="AJ8" s="4"/>
      <c r="AK8" s="1"/>
      <c r="AL8" s="1"/>
      <c r="AM8" s="1"/>
      <c r="AN8" s="1"/>
      <c r="AO8" s="1" t="s">
        <v>19</v>
      </c>
      <c r="AP8" s="2" t="n">
        <f aca="false">IF(OR(COUNTIF(C$16:I$16,"&gt;0")=0,SUMPRODUCT(--(LEN($B$17:$B$28)&gt;0))=0),0,SUMPRODUCT(($B$17:$B$28&lt;&gt;"")*(C$17:I$28=TRUE()))/(SUMPRODUCT(--(LEN($B$17:$B$28)&gt;0))*COUNTIF(C$16:I$16,"&gt;0")))</f>
        <v>0</v>
      </c>
      <c r="AQ8" s="2" t="s">
        <v>20</v>
      </c>
    </row>
    <row r="9" customFormat="false" ht="15.75" hidden="false" customHeight="true" outlineLevel="0" collapsed="false">
      <c r="A9" s="1"/>
      <c r="B9" s="9" t="s">
        <v>27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5" t="n">
        <f aca="false">AI3-AI6</f>
        <v>300</v>
      </c>
      <c r="AJ9" s="5"/>
      <c r="AK9" s="1"/>
      <c r="AL9" s="1"/>
      <c r="AM9" s="1"/>
      <c r="AN9" s="1"/>
      <c r="AO9" s="1" t="s">
        <v>21</v>
      </c>
      <c r="AP9" s="2" t="n">
        <f aca="false">IF(OR(COUNTIF(J$16:P$16,"&gt;0")=0,SUMPRODUCT(--(LEN($B$17:$B$28)&gt;0))=0),0,SUMPRODUCT(($B$17:$B$28&lt;&gt;"")*(J$17:P$28=TRUE()))/(SUMPRODUCT(--(LEN($B$17:$B$28)&gt;0))*COUNTIF(J$16:P$16,"&gt;0")))</f>
        <v>0</v>
      </c>
      <c r="AQ9" s="2" t="s">
        <v>22</v>
      </c>
    </row>
    <row r="10" customFormat="false" ht="15.75" hidden="false" customHeight="true" outlineLevel="0" collapsed="false">
      <c r="A10" s="1"/>
      <c r="B10" s="10" t="s">
        <v>23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5"/>
      <c r="AJ10" s="5"/>
      <c r="AK10" s="1"/>
      <c r="AL10" s="1"/>
      <c r="AM10" s="1"/>
      <c r="AN10" s="1"/>
      <c r="AO10" s="1" t="s">
        <v>24</v>
      </c>
      <c r="AP10" s="2" t="n">
        <f aca="false">IF(OR(COUNTIF(Q$16:W$16,"&gt;0")=0,SUMPRODUCT(--(LEN($B$17:$B$28)&gt;0))=0),0,SUMPRODUCT(($B$17:$B$28&lt;&gt;"")*(Q$17:W$28=TRUE()))/(SUMPRODUCT(--(LEN($B$17:$B$28)&gt;0))*COUNTIF(Q$16:W$16,"&gt;0")))</f>
        <v>0</v>
      </c>
      <c r="AQ10" s="2" t="s">
        <v>25</v>
      </c>
    </row>
    <row r="11" customFormat="false" ht="15.75" hidden="false" customHeight="true" outlineLevel="0" collapsed="false">
      <c r="A11" s="1"/>
      <c r="B11" s="10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 t="s">
        <v>26</v>
      </c>
      <c r="AP11" s="2" t="n">
        <f aca="false">IF(OR(COUNTIF(X$16:AD$16,"&gt;0")=0,SUMPRODUCT(--(LEN($B$17:$B$28)&gt;0))=0),0,SUMPRODUCT(($B$17:$B$28&lt;&gt;"")*(X$17:AD$28=TRUE()))/(SUMPRODUCT(--(LEN($B$17:$B$28)&gt;0))*COUNTIF(X$16:AD$16,"&gt;0")))</f>
        <v>0</v>
      </c>
      <c r="AQ11" s="2" t="s">
        <v>27</v>
      </c>
    </row>
    <row r="12" customFormat="false" ht="15.75" hidden="false" customHeight="true" outlineLevel="0" collapsed="false">
      <c r="A12" s="1"/>
      <c r="B12" s="10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 t="s">
        <v>28</v>
      </c>
      <c r="AP12" s="2" t="n">
        <f aca="false">IF(OR(COUNTIF(AE$16:AG$16,"&gt;0")=0,SUMPRODUCT(--(LEN($B$17:$B$28)&gt;0))=0),0,SUMPRODUCT(($B$17:$B$28&lt;&gt;"")*(AE$17:AG$28=TRUE()))/(SUMPRODUCT(--(LEN($B$17:$B$28)&gt;0))*COUNTIF(AE$16:AG$16,"&gt;0")))</f>
        <v>0</v>
      </c>
      <c r="AQ12" s="2" t="s">
        <v>29</v>
      </c>
    </row>
    <row r="13" customFormat="false" ht="15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</row>
    <row r="14" customFormat="false" ht="15" hidden="false" customHeight="false" outlineLevel="0" collapsed="false">
      <c r="A14" s="1"/>
      <c r="B14" s="11" t="s">
        <v>30</v>
      </c>
      <c r="C14" s="12" t="s">
        <v>19</v>
      </c>
      <c r="D14" s="12"/>
      <c r="E14" s="12"/>
      <c r="F14" s="12"/>
      <c r="G14" s="12"/>
      <c r="H14" s="12"/>
      <c r="I14" s="12"/>
      <c r="J14" s="12" t="s">
        <v>21</v>
      </c>
      <c r="K14" s="12"/>
      <c r="L14" s="12"/>
      <c r="M14" s="12"/>
      <c r="N14" s="12"/>
      <c r="O14" s="12"/>
      <c r="P14" s="12"/>
      <c r="Q14" s="12" t="s">
        <v>24</v>
      </c>
      <c r="R14" s="12"/>
      <c r="S14" s="12"/>
      <c r="T14" s="12"/>
      <c r="U14" s="12"/>
      <c r="V14" s="12"/>
      <c r="W14" s="12"/>
      <c r="X14" s="12" t="s">
        <v>26</v>
      </c>
      <c r="Y14" s="12"/>
      <c r="Z14" s="12"/>
      <c r="AA14" s="12"/>
      <c r="AB14" s="12"/>
      <c r="AC14" s="12"/>
      <c r="AD14" s="12"/>
      <c r="AE14" s="12" t="s">
        <v>28</v>
      </c>
      <c r="AF14" s="12"/>
      <c r="AG14" s="12"/>
      <c r="AH14" s="1"/>
      <c r="AI14" s="13" t="s">
        <v>31</v>
      </c>
      <c r="AJ14" s="13"/>
      <c r="AK14" s="13"/>
      <c r="AL14" s="13"/>
      <c r="AM14" s="13"/>
      <c r="AN14" s="1"/>
      <c r="AO14" s="1"/>
    </row>
    <row r="15" customFormat="false" ht="15" hidden="false" customHeight="false" outlineLevel="0" collapsed="false">
      <c r="A15" s="1"/>
      <c r="B15" s="11"/>
      <c r="C15" s="14" t="str">
        <f aca="false">IF(1&gt;$AP$3,"",CHOOSE(WEEKDAY(DATE($B$7,$AP$2,1)),"Su","Mo","Tu","We","Th","Fr","Sa"))</f>
        <v>Su</v>
      </c>
      <c r="D15" s="14" t="str">
        <f aca="false">IF(2&gt;$AP$3,"",CHOOSE(WEEKDAY(DATE($B$7,$AP$2,2)),"Su","Mo","Tu","We","Th","Fr","Sa"))</f>
        <v>Mo</v>
      </c>
      <c r="E15" s="14" t="str">
        <f aca="false">IF(3&gt;$AP$3,"",CHOOSE(WEEKDAY(DATE($B$7,$AP$2,3)),"Su","Mo","Tu","We","Th","Fr","Sa"))</f>
        <v>Tu</v>
      </c>
      <c r="F15" s="14" t="str">
        <f aca="false">IF(4&gt;$AP$3,"",CHOOSE(WEEKDAY(DATE($B$7,$AP$2,4)),"Su","Mo","Tu","We","Th","Fr","Sa"))</f>
        <v>We</v>
      </c>
      <c r="G15" s="14" t="str">
        <f aca="false">IF(5&gt;$AP$3,"",CHOOSE(WEEKDAY(DATE($B$7,$AP$2,5)),"Su","Mo","Tu","We","Th","Fr","Sa"))</f>
        <v>Th</v>
      </c>
      <c r="H15" s="14" t="str">
        <f aca="false">IF(6&gt;$AP$3,"",CHOOSE(WEEKDAY(DATE($B$7,$AP$2,6)),"Su","Mo","Tu","We","Th","Fr","Sa"))</f>
        <v>Fr</v>
      </c>
      <c r="I15" s="14" t="str">
        <f aca="false">IF(7&gt;$AP$3,"",CHOOSE(WEEKDAY(DATE($B$7,$AP$2,7)),"Su","Mo","Tu","We","Th","Fr","Sa"))</f>
        <v>Sa</v>
      </c>
      <c r="J15" s="14" t="str">
        <f aca="false">IF(8&gt;$AP$3,"",CHOOSE(WEEKDAY(DATE($B$7,$AP$2,8)),"Su","Mo","Tu","We","Th","Fr","Sa"))</f>
        <v>Su</v>
      </c>
      <c r="K15" s="14" t="str">
        <f aca="false">IF(9&gt;$AP$3,"",CHOOSE(WEEKDAY(DATE($B$7,$AP$2,9)),"Su","Mo","Tu","We","Th","Fr","Sa"))</f>
        <v>Mo</v>
      </c>
      <c r="L15" s="14" t="str">
        <f aca="false">IF(10&gt;$AP$3,"",CHOOSE(WEEKDAY(DATE($B$7,$AP$2,10)),"Su","Mo","Tu","We","Th","Fr","Sa"))</f>
        <v>Tu</v>
      </c>
      <c r="M15" s="14" t="str">
        <f aca="false">IF(11&gt;$AP$3,"",CHOOSE(WEEKDAY(DATE($B$7,$AP$2,11)),"Su","Mo","Tu","We","Th","Fr","Sa"))</f>
        <v>We</v>
      </c>
      <c r="N15" s="14" t="str">
        <f aca="false">IF(12&gt;$AP$3,"",CHOOSE(WEEKDAY(DATE($B$7,$AP$2,12)),"Su","Mo","Tu","We","Th","Fr","Sa"))</f>
        <v>Th</v>
      </c>
      <c r="O15" s="14" t="str">
        <f aca="false">IF(13&gt;$AP$3,"",CHOOSE(WEEKDAY(DATE($B$7,$AP$2,13)),"Su","Mo","Tu","We","Th","Fr","Sa"))</f>
        <v>Fr</v>
      </c>
      <c r="P15" s="14" t="str">
        <f aca="false">IF(14&gt;$AP$3,"",CHOOSE(WEEKDAY(DATE($B$7,$AP$2,14)),"Su","Mo","Tu","We","Th","Fr","Sa"))</f>
        <v>Sa</v>
      </c>
      <c r="Q15" s="14" t="str">
        <f aca="false">IF(15&gt;$AP$3,"",CHOOSE(WEEKDAY(DATE($B$7,$AP$2,15)),"Su","Mo","Tu","We","Th","Fr","Sa"))</f>
        <v>Su</v>
      </c>
      <c r="R15" s="14" t="str">
        <f aca="false">IF(16&gt;$AP$3,"",CHOOSE(WEEKDAY(DATE($B$7,$AP$2,16)),"Su","Mo","Tu","We","Th","Fr","Sa"))</f>
        <v>Mo</v>
      </c>
      <c r="S15" s="14" t="str">
        <f aca="false">IF(17&gt;$AP$3,"",CHOOSE(WEEKDAY(DATE($B$7,$AP$2,17)),"Su","Mo","Tu","We","Th","Fr","Sa"))</f>
        <v>Tu</v>
      </c>
      <c r="T15" s="14" t="str">
        <f aca="false">IF(18&gt;$AP$3,"",CHOOSE(WEEKDAY(DATE($B$7,$AP$2,18)),"Su","Mo","Tu","We","Th","Fr","Sa"))</f>
        <v>We</v>
      </c>
      <c r="U15" s="14" t="str">
        <f aca="false">IF(19&gt;$AP$3,"",CHOOSE(WEEKDAY(DATE($B$7,$AP$2,19)),"Su","Mo","Tu","We","Th","Fr","Sa"))</f>
        <v>Th</v>
      </c>
      <c r="V15" s="14" t="str">
        <f aca="false">IF(20&gt;$AP$3,"",CHOOSE(WEEKDAY(DATE($B$7,$AP$2,20)),"Su","Mo","Tu","We","Th","Fr","Sa"))</f>
        <v>Fr</v>
      </c>
      <c r="W15" s="14" t="str">
        <f aca="false">IF(21&gt;$AP$3,"",CHOOSE(WEEKDAY(DATE($B$7,$AP$2,21)),"Su","Mo","Tu","We","Th","Fr","Sa"))</f>
        <v>Sa</v>
      </c>
      <c r="X15" s="14" t="str">
        <f aca="false">IF(22&gt;$AP$3,"",CHOOSE(WEEKDAY(DATE($B$7,$AP$2,22)),"Su","Mo","Tu","We","Th","Fr","Sa"))</f>
        <v>Su</v>
      </c>
      <c r="Y15" s="14" t="str">
        <f aca="false">IF(23&gt;$AP$3,"",CHOOSE(WEEKDAY(DATE($B$7,$AP$2,23)),"Su","Mo","Tu","We","Th","Fr","Sa"))</f>
        <v>Mo</v>
      </c>
      <c r="Z15" s="14" t="str">
        <f aca="false">IF(24&gt;$AP$3,"",CHOOSE(WEEKDAY(DATE($B$7,$AP$2,24)),"Su","Mo","Tu","We","Th","Fr","Sa"))</f>
        <v>Tu</v>
      </c>
      <c r="AA15" s="14" t="str">
        <f aca="false">IF(25&gt;$AP$3,"",CHOOSE(WEEKDAY(DATE($B$7,$AP$2,25)),"Su","Mo","Tu","We","Th","Fr","Sa"))</f>
        <v>We</v>
      </c>
      <c r="AB15" s="14" t="str">
        <f aca="false">IF(26&gt;$AP$3,"",CHOOSE(WEEKDAY(DATE($B$7,$AP$2,26)),"Su","Mo","Tu","We","Th","Fr","Sa"))</f>
        <v>Th</v>
      </c>
      <c r="AC15" s="14" t="str">
        <f aca="false">IF(27&gt;$AP$3,"",CHOOSE(WEEKDAY(DATE($B$7,$AP$2,27)),"Su","Mo","Tu","We","Th","Fr","Sa"))</f>
        <v>Fr</v>
      </c>
      <c r="AD15" s="14" t="str">
        <f aca="false">IF(28&gt;$AP$3,"",CHOOSE(WEEKDAY(DATE($B$7,$AP$2,28)),"Su","Mo","Tu","We","Th","Fr","Sa"))</f>
        <v>Sa</v>
      </c>
      <c r="AE15" s="14" t="str">
        <f aca="false">IF(29&gt;$AP$3,"",CHOOSE(WEEKDAY(DATE($B$7,$AP$2,29)),"Su","Mo","Tu","We","Th","Fr","Sa"))</f>
        <v>Su</v>
      </c>
      <c r="AF15" s="14" t="str">
        <f aca="false">IF(30&gt;$AP$3,"",CHOOSE(WEEKDAY(DATE($B$7,$AP$2,30)),"Su","Mo","Tu","We","Th","Fr","Sa"))</f>
        <v>Mo</v>
      </c>
      <c r="AG15" s="14" t="str">
        <f aca="false">IF(31&gt;$AP$3,"",CHOOSE(WEEKDAY(DATE($B$7,$AP$2,31)),"Su","Mo","Tu","We","Th","Fr","Sa"))</f>
        <v/>
      </c>
      <c r="AH15" s="1"/>
      <c r="AI15" s="13"/>
      <c r="AJ15" s="13"/>
      <c r="AK15" s="13"/>
      <c r="AL15" s="13"/>
      <c r="AM15" s="13"/>
      <c r="AN15" s="1"/>
      <c r="AO15" s="1"/>
    </row>
    <row r="16" customFormat="false" ht="15" hidden="false" customHeight="false" outlineLevel="0" collapsed="false">
      <c r="A16" s="1"/>
      <c r="B16" s="11"/>
      <c r="C16" s="14" t="n">
        <f aca="false">IF(1&gt;$AP$3,"",1)</f>
        <v>1</v>
      </c>
      <c r="D16" s="14" t="n">
        <f aca="false">IF(2&gt;$AP$3,"",2)</f>
        <v>2</v>
      </c>
      <c r="E16" s="14" t="n">
        <f aca="false">IF(3&gt;$AP$3,"",3)</f>
        <v>3</v>
      </c>
      <c r="F16" s="14" t="n">
        <f aca="false">IF(4&gt;$AP$3,"",4)</f>
        <v>4</v>
      </c>
      <c r="G16" s="14" t="n">
        <f aca="false">IF(5&gt;$AP$3,"",5)</f>
        <v>5</v>
      </c>
      <c r="H16" s="14" t="n">
        <f aca="false">IF(6&gt;$AP$3,"",6)</f>
        <v>6</v>
      </c>
      <c r="I16" s="14" t="n">
        <f aca="false">IF(7&gt;$AP$3,"",7)</f>
        <v>7</v>
      </c>
      <c r="J16" s="14" t="n">
        <f aca="false">IF(8&gt;$AP$3,"",8)</f>
        <v>8</v>
      </c>
      <c r="K16" s="14" t="n">
        <f aca="false">IF(9&gt;$AP$3,"",9)</f>
        <v>9</v>
      </c>
      <c r="L16" s="14" t="n">
        <f aca="false">IF(10&gt;$AP$3,"",10)</f>
        <v>10</v>
      </c>
      <c r="M16" s="14" t="n">
        <f aca="false">IF(11&gt;$AP$3,"",11)</f>
        <v>11</v>
      </c>
      <c r="N16" s="14" t="n">
        <f aca="false">IF(12&gt;$AP$3,"",12)</f>
        <v>12</v>
      </c>
      <c r="O16" s="14" t="n">
        <f aca="false">IF(13&gt;$AP$3,"",13)</f>
        <v>13</v>
      </c>
      <c r="P16" s="14" t="n">
        <f aca="false">IF(14&gt;$AP$3,"",14)</f>
        <v>14</v>
      </c>
      <c r="Q16" s="14" t="n">
        <f aca="false">IF(15&gt;$AP$3,"",15)</f>
        <v>15</v>
      </c>
      <c r="R16" s="14" t="n">
        <f aca="false">IF(16&gt;$AP$3,"",16)</f>
        <v>16</v>
      </c>
      <c r="S16" s="14" t="n">
        <f aca="false">IF(17&gt;$AP$3,"",17)</f>
        <v>17</v>
      </c>
      <c r="T16" s="14" t="n">
        <f aca="false">IF(18&gt;$AP$3,"",18)</f>
        <v>18</v>
      </c>
      <c r="U16" s="14" t="n">
        <f aca="false">IF(19&gt;$AP$3,"",19)</f>
        <v>19</v>
      </c>
      <c r="V16" s="14" t="n">
        <f aca="false">IF(20&gt;$AP$3,"",20)</f>
        <v>20</v>
      </c>
      <c r="W16" s="14" t="n">
        <f aca="false">IF(21&gt;$AP$3,"",21)</f>
        <v>21</v>
      </c>
      <c r="X16" s="14" t="n">
        <f aca="false">IF(22&gt;$AP$3,"",22)</f>
        <v>22</v>
      </c>
      <c r="Y16" s="14" t="n">
        <f aca="false">IF(23&gt;$AP$3,"",23)</f>
        <v>23</v>
      </c>
      <c r="Z16" s="14" t="n">
        <f aca="false">IF(24&gt;$AP$3,"",24)</f>
        <v>24</v>
      </c>
      <c r="AA16" s="14" t="n">
        <f aca="false">IF(25&gt;$AP$3,"",25)</f>
        <v>25</v>
      </c>
      <c r="AB16" s="14" t="n">
        <f aca="false">IF(26&gt;$AP$3,"",26)</f>
        <v>26</v>
      </c>
      <c r="AC16" s="14" t="n">
        <f aca="false">IF(27&gt;$AP$3,"",27)</f>
        <v>27</v>
      </c>
      <c r="AD16" s="14" t="n">
        <f aca="false">IF(28&gt;$AP$3,"",28)</f>
        <v>28</v>
      </c>
      <c r="AE16" s="14" t="n">
        <f aca="false">IF(29&gt;$AP$3,"",29)</f>
        <v>29</v>
      </c>
      <c r="AF16" s="14" t="n">
        <f aca="false">IF(30&gt;$AP$3,"",30)</f>
        <v>30</v>
      </c>
      <c r="AG16" s="14" t="str">
        <f aca="false">IF(31&gt;$AP$3,"",31)</f>
        <v/>
      </c>
      <c r="AH16" s="1"/>
      <c r="AI16" s="15" t="s">
        <v>4</v>
      </c>
      <c r="AJ16" s="15" t="s">
        <v>32</v>
      </c>
      <c r="AK16" s="15" t="s">
        <v>15</v>
      </c>
      <c r="AL16" s="15" t="s">
        <v>33</v>
      </c>
      <c r="AM16" s="15" t="s">
        <v>34</v>
      </c>
      <c r="AN16" s="1"/>
      <c r="AO16" s="1"/>
    </row>
    <row r="17" customFormat="false" ht="18" hidden="false" customHeight="true" outlineLevel="0" collapsed="false">
      <c r="A17" s="1"/>
      <c r="B17" s="16" t="s">
        <v>35</v>
      </c>
      <c r="C17" s="17" t="b">
        <f aca="false">FALSE()</f>
        <v>0</v>
      </c>
      <c r="D17" s="17" t="b">
        <f aca="false">FALSE()</f>
        <v>0</v>
      </c>
      <c r="E17" s="17" t="b">
        <f aca="false">FALSE()</f>
        <v>0</v>
      </c>
      <c r="F17" s="17" t="b">
        <f aca="false">FALSE()</f>
        <v>0</v>
      </c>
      <c r="G17" s="17" t="b">
        <f aca="false">FALSE()</f>
        <v>0</v>
      </c>
      <c r="H17" s="17" t="b">
        <f aca="false">FALSE()</f>
        <v>0</v>
      </c>
      <c r="I17" s="17" t="b">
        <f aca="false">FALSE()</f>
        <v>0</v>
      </c>
      <c r="J17" s="17" t="b">
        <f aca="false">FALSE()</f>
        <v>0</v>
      </c>
      <c r="K17" s="17" t="b">
        <f aca="false">FALSE()</f>
        <v>0</v>
      </c>
      <c r="L17" s="17" t="b">
        <f aca="false">FALSE()</f>
        <v>0</v>
      </c>
      <c r="M17" s="17" t="b">
        <f aca="false">FALSE()</f>
        <v>0</v>
      </c>
      <c r="N17" s="17" t="b">
        <f aca="false">FALSE()</f>
        <v>0</v>
      </c>
      <c r="O17" s="17" t="b">
        <f aca="false">FALSE()</f>
        <v>0</v>
      </c>
      <c r="P17" s="17" t="b">
        <f aca="false">FALSE()</f>
        <v>0</v>
      </c>
      <c r="Q17" s="17" t="b">
        <f aca="false">FALSE()</f>
        <v>0</v>
      </c>
      <c r="R17" s="17" t="b">
        <f aca="false">FALSE()</f>
        <v>0</v>
      </c>
      <c r="S17" s="17" t="b">
        <f aca="false">FALSE()</f>
        <v>0</v>
      </c>
      <c r="T17" s="17" t="b">
        <f aca="false">FALSE()</f>
        <v>0</v>
      </c>
      <c r="U17" s="17" t="b">
        <f aca="false">FALSE()</f>
        <v>0</v>
      </c>
      <c r="V17" s="17" t="b">
        <f aca="false">FALSE()</f>
        <v>0</v>
      </c>
      <c r="W17" s="17" t="b">
        <f aca="false">FALSE()</f>
        <v>0</v>
      </c>
      <c r="X17" s="17" t="b">
        <f aca="false">FALSE()</f>
        <v>0</v>
      </c>
      <c r="Y17" s="17" t="b">
        <f aca="false">FALSE()</f>
        <v>0</v>
      </c>
      <c r="Z17" s="17" t="b">
        <f aca="false">FALSE()</f>
        <v>0</v>
      </c>
      <c r="AA17" s="17" t="b">
        <f aca="false">FALSE()</f>
        <v>0</v>
      </c>
      <c r="AB17" s="17" t="b">
        <f aca="false">FALSE()</f>
        <v>0</v>
      </c>
      <c r="AC17" s="17" t="b">
        <f aca="false">FALSE()</f>
        <v>0</v>
      </c>
      <c r="AD17" s="17" t="b">
        <f aca="false">FALSE()</f>
        <v>0</v>
      </c>
      <c r="AE17" s="17" t="b">
        <f aca="false">FALSE()</f>
        <v>0</v>
      </c>
      <c r="AF17" s="17" t="b">
        <f aca="false">FALSE()</f>
        <v>0</v>
      </c>
      <c r="AG17" s="17" t="b">
        <f aca="false">FALSE()</f>
        <v>0</v>
      </c>
      <c r="AH17" s="1"/>
      <c r="AI17" s="18" t="n">
        <f aca="false">IF($B17="","",$AP$3)</f>
        <v>30</v>
      </c>
      <c r="AJ17" s="18" t="n">
        <f aca="false">IF($B17="","",COUNTIF(C17:AG17,TRUE()))</f>
        <v>0</v>
      </c>
      <c r="AK17" s="18" t="n">
        <f aca="false">IF($B17="","",AI17-AJ17)</f>
        <v>30</v>
      </c>
      <c r="AL17" s="19" t="n">
        <f aca="false">IF($B17="","",AJ17/AI17)</f>
        <v>0</v>
      </c>
      <c r="AM17" s="20" t="n">
        <f aca="false">IF($B17="","",AJ17/AI17)</f>
        <v>0</v>
      </c>
      <c r="AN17" s="21" t="n">
        <f aca="false">IF($B17="",-1,AM17-ROW()/100000)</f>
        <v>-0.00017</v>
      </c>
      <c r="AO17" s="1"/>
    </row>
    <row r="18" customFormat="false" ht="18" hidden="false" customHeight="true" outlineLevel="0" collapsed="false">
      <c r="A18" s="1"/>
      <c r="B18" s="16" t="s">
        <v>36</v>
      </c>
      <c r="C18" s="17" t="b">
        <f aca="false">FALSE()</f>
        <v>0</v>
      </c>
      <c r="D18" s="17" t="b">
        <f aca="false">FALSE()</f>
        <v>0</v>
      </c>
      <c r="E18" s="17" t="b">
        <f aca="false">FALSE()</f>
        <v>0</v>
      </c>
      <c r="F18" s="17" t="b">
        <f aca="false">FALSE()</f>
        <v>0</v>
      </c>
      <c r="G18" s="17" t="b">
        <f aca="false">FALSE()</f>
        <v>0</v>
      </c>
      <c r="H18" s="17" t="b">
        <f aca="false">FALSE()</f>
        <v>0</v>
      </c>
      <c r="I18" s="17" t="b">
        <f aca="false">FALSE()</f>
        <v>0</v>
      </c>
      <c r="J18" s="17" t="b">
        <f aca="false">FALSE()</f>
        <v>0</v>
      </c>
      <c r="K18" s="17" t="b">
        <f aca="false">FALSE()</f>
        <v>0</v>
      </c>
      <c r="L18" s="17" t="b">
        <f aca="false">FALSE()</f>
        <v>0</v>
      </c>
      <c r="M18" s="17" t="b">
        <f aca="false">FALSE()</f>
        <v>0</v>
      </c>
      <c r="N18" s="17" t="b">
        <f aca="false">FALSE()</f>
        <v>0</v>
      </c>
      <c r="O18" s="17" t="b">
        <f aca="false">FALSE()</f>
        <v>0</v>
      </c>
      <c r="P18" s="17" t="b">
        <f aca="false">FALSE()</f>
        <v>0</v>
      </c>
      <c r="Q18" s="17" t="b">
        <f aca="false">FALSE()</f>
        <v>0</v>
      </c>
      <c r="R18" s="17" t="b">
        <f aca="false">FALSE()</f>
        <v>0</v>
      </c>
      <c r="S18" s="17" t="b">
        <f aca="false">FALSE()</f>
        <v>0</v>
      </c>
      <c r="T18" s="17" t="b">
        <f aca="false">FALSE()</f>
        <v>0</v>
      </c>
      <c r="U18" s="17" t="b">
        <f aca="false">FALSE()</f>
        <v>0</v>
      </c>
      <c r="V18" s="17" t="b">
        <f aca="false">FALSE()</f>
        <v>0</v>
      </c>
      <c r="W18" s="17" t="b">
        <f aca="false">FALSE()</f>
        <v>0</v>
      </c>
      <c r="X18" s="17" t="b">
        <f aca="false">FALSE()</f>
        <v>0</v>
      </c>
      <c r="Y18" s="17" t="b">
        <f aca="false">FALSE()</f>
        <v>0</v>
      </c>
      <c r="Z18" s="17" t="b">
        <f aca="false">FALSE()</f>
        <v>0</v>
      </c>
      <c r="AA18" s="17" t="b">
        <f aca="false">FALSE()</f>
        <v>0</v>
      </c>
      <c r="AB18" s="17" t="b">
        <f aca="false">FALSE()</f>
        <v>0</v>
      </c>
      <c r="AC18" s="17" t="b">
        <f aca="false">FALSE()</f>
        <v>0</v>
      </c>
      <c r="AD18" s="17" t="b">
        <f aca="false">FALSE()</f>
        <v>0</v>
      </c>
      <c r="AE18" s="17" t="b">
        <f aca="false">FALSE()</f>
        <v>0</v>
      </c>
      <c r="AF18" s="17" t="b">
        <f aca="false">FALSE()</f>
        <v>0</v>
      </c>
      <c r="AG18" s="17" t="b">
        <f aca="false">FALSE()</f>
        <v>0</v>
      </c>
      <c r="AH18" s="1"/>
      <c r="AI18" s="18" t="n">
        <f aca="false">IF($B18="","",$AP$3)</f>
        <v>30</v>
      </c>
      <c r="AJ18" s="18" t="n">
        <f aca="false">IF($B18="","",COUNTIF(C18:AG18,TRUE()))</f>
        <v>0</v>
      </c>
      <c r="AK18" s="18" t="n">
        <f aca="false">IF($B18="","",AI18-AJ18)</f>
        <v>30</v>
      </c>
      <c r="AL18" s="19" t="n">
        <f aca="false">IF($B18="","",AJ18/AI18)</f>
        <v>0</v>
      </c>
      <c r="AM18" s="20" t="n">
        <f aca="false">IF($B18="","",AJ18/AI18)</f>
        <v>0</v>
      </c>
      <c r="AN18" s="21" t="n">
        <f aca="false">IF($B18="",-1,AM18-ROW()/100000)</f>
        <v>-0.00018</v>
      </c>
      <c r="AO18" s="1"/>
    </row>
    <row r="19" customFormat="false" ht="18" hidden="false" customHeight="true" outlineLevel="0" collapsed="false">
      <c r="A19" s="1"/>
      <c r="B19" s="16" t="s">
        <v>37</v>
      </c>
      <c r="C19" s="17" t="b">
        <f aca="false">FALSE()</f>
        <v>0</v>
      </c>
      <c r="D19" s="17" t="b">
        <f aca="false">FALSE()</f>
        <v>0</v>
      </c>
      <c r="E19" s="17" t="b">
        <f aca="false">FALSE()</f>
        <v>0</v>
      </c>
      <c r="F19" s="17" t="b">
        <f aca="false">FALSE()</f>
        <v>0</v>
      </c>
      <c r="G19" s="17" t="b">
        <f aca="false">FALSE()</f>
        <v>0</v>
      </c>
      <c r="H19" s="17" t="b">
        <f aca="false">FALSE()</f>
        <v>0</v>
      </c>
      <c r="I19" s="17" t="b">
        <f aca="false">FALSE()</f>
        <v>0</v>
      </c>
      <c r="J19" s="17" t="b">
        <f aca="false">FALSE()</f>
        <v>0</v>
      </c>
      <c r="K19" s="17" t="b">
        <f aca="false">FALSE()</f>
        <v>0</v>
      </c>
      <c r="L19" s="17" t="b">
        <f aca="false">FALSE()</f>
        <v>0</v>
      </c>
      <c r="M19" s="17" t="b">
        <f aca="false">FALSE()</f>
        <v>0</v>
      </c>
      <c r="N19" s="17" t="b">
        <f aca="false">FALSE()</f>
        <v>0</v>
      </c>
      <c r="O19" s="17" t="b">
        <f aca="false">FALSE()</f>
        <v>0</v>
      </c>
      <c r="P19" s="17" t="b">
        <f aca="false">FALSE()</f>
        <v>0</v>
      </c>
      <c r="Q19" s="17" t="b">
        <f aca="false">FALSE()</f>
        <v>0</v>
      </c>
      <c r="R19" s="17" t="b">
        <f aca="false">FALSE()</f>
        <v>0</v>
      </c>
      <c r="S19" s="17" t="b">
        <f aca="false">FALSE()</f>
        <v>0</v>
      </c>
      <c r="T19" s="17" t="b">
        <f aca="false">FALSE()</f>
        <v>0</v>
      </c>
      <c r="U19" s="17" t="b">
        <f aca="false">FALSE()</f>
        <v>0</v>
      </c>
      <c r="V19" s="17" t="b">
        <f aca="false">FALSE()</f>
        <v>0</v>
      </c>
      <c r="W19" s="17" t="b">
        <f aca="false">FALSE()</f>
        <v>0</v>
      </c>
      <c r="X19" s="17" t="b">
        <f aca="false">FALSE()</f>
        <v>0</v>
      </c>
      <c r="Y19" s="17" t="b">
        <f aca="false">FALSE()</f>
        <v>0</v>
      </c>
      <c r="Z19" s="17" t="b">
        <f aca="false">FALSE()</f>
        <v>0</v>
      </c>
      <c r="AA19" s="17" t="b">
        <f aca="false">FALSE()</f>
        <v>0</v>
      </c>
      <c r="AB19" s="17" t="b">
        <f aca="false">FALSE()</f>
        <v>0</v>
      </c>
      <c r="AC19" s="17" t="b">
        <f aca="false">FALSE()</f>
        <v>0</v>
      </c>
      <c r="AD19" s="17" t="b">
        <f aca="false">FALSE()</f>
        <v>0</v>
      </c>
      <c r="AE19" s="17" t="b">
        <f aca="false">FALSE()</f>
        <v>0</v>
      </c>
      <c r="AF19" s="17" t="b">
        <f aca="false">FALSE()</f>
        <v>0</v>
      </c>
      <c r="AG19" s="17" t="b">
        <f aca="false">FALSE()</f>
        <v>0</v>
      </c>
      <c r="AH19" s="1"/>
      <c r="AI19" s="18" t="n">
        <f aca="false">IF($B19="","",$AP$3)</f>
        <v>30</v>
      </c>
      <c r="AJ19" s="18" t="n">
        <f aca="false">IF($B19="","",COUNTIF(C19:AG19,TRUE()))</f>
        <v>0</v>
      </c>
      <c r="AK19" s="18" t="n">
        <f aca="false">IF($B19="","",AI19-AJ19)</f>
        <v>30</v>
      </c>
      <c r="AL19" s="19" t="n">
        <f aca="false">IF($B19="","",AJ19/AI19)</f>
        <v>0</v>
      </c>
      <c r="AM19" s="20" t="n">
        <f aca="false">IF($B19="","",AJ19/AI19)</f>
        <v>0</v>
      </c>
      <c r="AN19" s="21" t="n">
        <f aca="false">IF($B19="",-1,AM19-ROW()/100000)</f>
        <v>-0.00019</v>
      </c>
      <c r="AO19" s="1"/>
    </row>
    <row r="20" customFormat="false" ht="18" hidden="false" customHeight="true" outlineLevel="0" collapsed="false">
      <c r="A20" s="1"/>
      <c r="B20" s="16" t="s">
        <v>38</v>
      </c>
      <c r="C20" s="17" t="b">
        <f aca="false">FALSE()</f>
        <v>0</v>
      </c>
      <c r="D20" s="17" t="b">
        <f aca="false">FALSE()</f>
        <v>0</v>
      </c>
      <c r="E20" s="17" t="b">
        <f aca="false">FALSE()</f>
        <v>0</v>
      </c>
      <c r="F20" s="17" t="b">
        <f aca="false">FALSE()</f>
        <v>0</v>
      </c>
      <c r="G20" s="17" t="b">
        <f aca="false">FALSE()</f>
        <v>0</v>
      </c>
      <c r="H20" s="17" t="b">
        <f aca="false">FALSE()</f>
        <v>0</v>
      </c>
      <c r="I20" s="17" t="b">
        <f aca="false">FALSE()</f>
        <v>0</v>
      </c>
      <c r="J20" s="17" t="b">
        <f aca="false">FALSE()</f>
        <v>0</v>
      </c>
      <c r="K20" s="17" t="b">
        <f aca="false">FALSE()</f>
        <v>0</v>
      </c>
      <c r="L20" s="17" t="b">
        <f aca="false">FALSE()</f>
        <v>0</v>
      </c>
      <c r="M20" s="17" t="b">
        <f aca="false">FALSE()</f>
        <v>0</v>
      </c>
      <c r="N20" s="17" t="b">
        <f aca="false">FALSE()</f>
        <v>0</v>
      </c>
      <c r="O20" s="17" t="b">
        <f aca="false">FALSE()</f>
        <v>0</v>
      </c>
      <c r="P20" s="17" t="b">
        <f aca="false">FALSE()</f>
        <v>0</v>
      </c>
      <c r="Q20" s="17" t="b">
        <f aca="false">FALSE()</f>
        <v>0</v>
      </c>
      <c r="R20" s="17" t="b">
        <f aca="false">FALSE()</f>
        <v>0</v>
      </c>
      <c r="S20" s="17" t="b">
        <f aca="false">FALSE()</f>
        <v>0</v>
      </c>
      <c r="T20" s="17" t="b">
        <f aca="false">FALSE()</f>
        <v>0</v>
      </c>
      <c r="U20" s="17" t="b">
        <f aca="false">FALSE()</f>
        <v>0</v>
      </c>
      <c r="V20" s="17" t="b">
        <f aca="false">FALSE()</f>
        <v>0</v>
      </c>
      <c r="W20" s="17" t="b">
        <f aca="false">FALSE()</f>
        <v>0</v>
      </c>
      <c r="X20" s="17" t="b">
        <f aca="false">FALSE()</f>
        <v>0</v>
      </c>
      <c r="Y20" s="17" t="b">
        <f aca="false">FALSE()</f>
        <v>0</v>
      </c>
      <c r="Z20" s="17" t="b">
        <f aca="false">FALSE()</f>
        <v>0</v>
      </c>
      <c r="AA20" s="17" t="b">
        <f aca="false">FALSE()</f>
        <v>0</v>
      </c>
      <c r="AB20" s="17" t="b">
        <f aca="false">FALSE()</f>
        <v>0</v>
      </c>
      <c r="AC20" s="17" t="b">
        <f aca="false">FALSE()</f>
        <v>0</v>
      </c>
      <c r="AD20" s="17" t="b">
        <f aca="false">FALSE()</f>
        <v>0</v>
      </c>
      <c r="AE20" s="17" t="b">
        <f aca="false">FALSE()</f>
        <v>0</v>
      </c>
      <c r="AF20" s="17" t="b">
        <f aca="false">FALSE()</f>
        <v>0</v>
      </c>
      <c r="AG20" s="17" t="b">
        <f aca="false">FALSE()</f>
        <v>0</v>
      </c>
      <c r="AH20" s="1"/>
      <c r="AI20" s="18" t="n">
        <f aca="false">IF($B20="","",$AP$3)</f>
        <v>30</v>
      </c>
      <c r="AJ20" s="18" t="n">
        <f aca="false">IF($B20="","",COUNTIF(C20:AG20,TRUE()))</f>
        <v>0</v>
      </c>
      <c r="AK20" s="18" t="n">
        <f aca="false">IF($B20="","",AI20-AJ20)</f>
        <v>30</v>
      </c>
      <c r="AL20" s="19" t="n">
        <f aca="false">IF($B20="","",AJ20/AI20)</f>
        <v>0</v>
      </c>
      <c r="AM20" s="20" t="n">
        <f aca="false">IF($B20="","",AJ20/AI20)</f>
        <v>0</v>
      </c>
      <c r="AN20" s="21" t="n">
        <f aca="false">IF($B20="",-1,AM20-ROW()/100000)</f>
        <v>-0.0002</v>
      </c>
      <c r="AO20" s="1"/>
    </row>
    <row r="21" customFormat="false" ht="18" hidden="false" customHeight="true" outlineLevel="0" collapsed="false">
      <c r="A21" s="1"/>
      <c r="B21" s="16" t="s">
        <v>39</v>
      </c>
      <c r="C21" s="17" t="b">
        <f aca="false">FALSE()</f>
        <v>0</v>
      </c>
      <c r="D21" s="17" t="b">
        <f aca="false">FALSE()</f>
        <v>0</v>
      </c>
      <c r="E21" s="17" t="b">
        <f aca="false">FALSE()</f>
        <v>0</v>
      </c>
      <c r="F21" s="17" t="b">
        <f aca="false">FALSE()</f>
        <v>0</v>
      </c>
      <c r="G21" s="17" t="b">
        <f aca="false">FALSE()</f>
        <v>0</v>
      </c>
      <c r="H21" s="17" t="b">
        <f aca="false">FALSE()</f>
        <v>0</v>
      </c>
      <c r="I21" s="17" t="b">
        <f aca="false">FALSE()</f>
        <v>0</v>
      </c>
      <c r="J21" s="17" t="b">
        <f aca="false">FALSE()</f>
        <v>0</v>
      </c>
      <c r="K21" s="17" t="b">
        <f aca="false">FALSE()</f>
        <v>0</v>
      </c>
      <c r="L21" s="17" t="b">
        <f aca="false">FALSE()</f>
        <v>0</v>
      </c>
      <c r="M21" s="17" t="b">
        <f aca="false">FALSE()</f>
        <v>0</v>
      </c>
      <c r="N21" s="17" t="b">
        <f aca="false">FALSE()</f>
        <v>0</v>
      </c>
      <c r="O21" s="17" t="b">
        <f aca="false">FALSE()</f>
        <v>0</v>
      </c>
      <c r="P21" s="17" t="b">
        <f aca="false">FALSE()</f>
        <v>0</v>
      </c>
      <c r="Q21" s="17" t="b">
        <f aca="false">FALSE()</f>
        <v>0</v>
      </c>
      <c r="R21" s="17" t="b">
        <f aca="false">FALSE()</f>
        <v>0</v>
      </c>
      <c r="S21" s="17" t="b">
        <f aca="false">FALSE()</f>
        <v>0</v>
      </c>
      <c r="T21" s="17" t="b">
        <f aca="false">FALSE()</f>
        <v>0</v>
      </c>
      <c r="U21" s="17" t="b">
        <f aca="false">FALSE()</f>
        <v>0</v>
      </c>
      <c r="V21" s="17" t="b">
        <f aca="false">FALSE()</f>
        <v>0</v>
      </c>
      <c r="W21" s="17" t="b">
        <f aca="false">FALSE()</f>
        <v>0</v>
      </c>
      <c r="X21" s="17" t="b">
        <f aca="false">FALSE()</f>
        <v>0</v>
      </c>
      <c r="Y21" s="17" t="b">
        <f aca="false">FALSE()</f>
        <v>0</v>
      </c>
      <c r="Z21" s="17" t="b">
        <f aca="false">FALSE()</f>
        <v>0</v>
      </c>
      <c r="AA21" s="17" t="b">
        <f aca="false">FALSE()</f>
        <v>0</v>
      </c>
      <c r="AB21" s="17" t="b">
        <f aca="false">FALSE()</f>
        <v>0</v>
      </c>
      <c r="AC21" s="17" t="b">
        <f aca="false">FALSE()</f>
        <v>0</v>
      </c>
      <c r="AD21" s="17" t="b">
        <f aca="false">FALSE()</f>
        <v>0</v>
      </c>
      <c r="AE21" s="17" t="b">
        <f aca="false">FALSE()</f>
        <v>0</v>
      </c>
      <c r="AF21" s="17" t="b">
        <f aca="false">FALSE()</f>
        <v>0</v>
      </c>
      <c r="AG21" s="17" t="b">
        <f aca="false">FALSE()</f>
        <v>0</v>
      </c>
      <c r="AH21" s="1"/>
      <c r="AI21" s="18" t="n">
        <f aca="false">IF($B21="","",$AP$3)</f>
        <v>30</v>
      </c>
      <c r="AJ21" s="18" t="n">
        <f aca="false">IF($B21="","",COUNTIF(C21:AG21,TRUE()))</f>
        <v>0</v>
      </c>
      <c r="AK21" s="18" t="n">
        <f aca="false">IF($B21="","",AI21-AJ21)</f>
        <v>30</v>
      </c>
      <c r="AL21" s="19" t="n">
        <f aca="false">IF($B21="","",AJ21/AI21)</f>
        <v>0</v>
      </c>
      <c r="AM21" s="20" t="n">
        <f aca="false">IF($B21="","",AJ21/AI21)</f>
        <v>0</v>
      </c>
      <c r="AN21" s="21" t="n">
        <f aca="false">IF($B21="",-1,AM21-ROW()/100000)</f>
        <v>-0.00021</v>
      </c>
      <c r="AO21" s="1"/>
    </row>
    <row r="22" customFormat="false" ht="18" hidden="false" customHeight="true" outlineLevel="0" collapsed="false">
      <c r="A22" s="1"/>
      <c r="B22" s="16" t="s">
        <v>40</v>
      </c>
      <c r="C22" s="17" t="b">
        <f aca="false">FALSE()</f>
        <v>0</v>
      </c>
      <c r="D22" s="17" t="b">
        <f aca="false">FALSE()</f>
        <v>0</v>
      </c>
      <c r="E22" s="17" t="b">
        <f aca="false">FALSE()</f>
        <v>0</v>
      </c>
      <c r="F22" s="17" t="b">
        <f aca="false">FALSE()</f>
        <v>0</v>
      </c>
      <c r="G22" s="17" t="b">
        <f aca="false">FALSE()</f>
        <v>0</v>
      </c>
      <c r="H22" s="17" t="b">
        <f aca="false">FALSE()</f>
        <v>0</v>
      </c>
      <c r="I22" s="17" t="b">
        <f aca="false">FALSE()</f>
        <v>0</v>
      </c>
      <c r="J22" s="17" t="b">
        <f aca="false">FALSE()</f>
        <v>0</v>
      </c>
      <c r="K22" s="17" t="b">
        <f aca="false">FALSE()</f>
        <v>0</v>
      </c>
      <c r="L22" s="17" t="b">
        <f aca="false">FALSE()</f>
        <v>0</v>
      </c>
      <c r="M22" s="17" t="b">
        <f aca="false">FALSE()</f>
        <v>0</v>
      </c>
      <c r="N22" s="17" t="b">
        <f aca="false">FALSE()</f>
        <v>0</v>
      </c>
      <c r="O22" s="17" t="b">
        <f aca="false">FALSE()</f>
        <v>0</v>
      </c>
      <c r="P22" s="17" t="b">
        <f aca="false">FALSE()</f>
        <v>0</v>
      </c>
      <c r="Q22" s="17" t="b">
        <f aca="false">FALSE()</f>
        <v>0</v>
      </c>
      <c r="R22" s="17" t="b">
        <f aca="false">FALSE()</f>
        <v>0</v>
      </c>
      <c r="S22" s="17" t="b">
        <f aca="false">FALSE()</f>
        <v>0</v>
      </c>
      <c r="T22" s="17" t="b">
        <f aca="false">FALSE()</f>
        <v>0</v>
      </c>
      <c r="U22" s="17" t="b">
        <f aca="false">FALSE()</f>
        <v>0</v>
      </c>
      <c r="V22" s="17" t="b">
        <f aca="false">FALSE()</f>
        <v>0</v>
      </c>
      <c r="W22" s="17" t="b">
        <f aca="false">FALSE()</f>
        <v>0</v>
      </c>
      <c r="X22" s="17" t="b">
        <f aca="false">FALSE()</f>
        <v>0</v>
      </c>
      <c r="Y22" s="17" t="b">
        <f aca="false">FALSE()</f>
        <v>0</v>
      </c>
      <c r="Z22" s="17" t="b">
        <f aca="false">FALSE()</f>
        <v>0</v>
      </c>
      <c r="AA22" s="17" t="b">
        <f aca="false">FALSE()</f>
        <v>0</v>
      </c>
      <c r="AB22" s="17" t="b">
        <f aca="false">FALSE()</f>
        <v>0</v>
      </c>
      <c r="AC22" s="17" t="b">
        <f aca="false">FALSE()</f>
        <v>0</v>
      </c>
      <c r="AD22" s="17" t="b">
        <f aca="false">FALSE()</f>
        <v>0</v>
      </c>
      <c r="AE22" s="17" t="b">
        <f aca="false">FALSE()</f>
        <v>0</v>
      </c>
      <c r="AF22" s="17" t="b">
        <f aca="false">FALSE()</f>
        <v>0</v>
      </c>
      <c r="AG22" s="17" t="b">
        <f aca="false">FALSE()</f>
        <v>0</v>
      </c>
      <c r="AH22" s="1"/>
      <c r="AI22" s="18" t="n">
        <f aca="false">IF($B22="","",$AP$3)</f>
        <v>30</v>
      </c>
      <c r="AJ22" s="18" t="n">
        <f aca="false">IF($B22="","",COUNTIF(C22:AG22,TRUE()))</f>
        <v>0</v>
      </c>
      <c r="AK22" s="18" t="n">
        <f aca="false">IF($B22="","",AI22-AJ22)</f>
        <v>30</v>
      </c>
      <c r="AL22" s="19" t="n">
        <f aca="false">IF($B22="","",AJ22/AI22)</f>
        <v>0</v>
      </c>
      <c r="AM22" s="20" t="n">
        <f aca="false">IF($B22="","",AJ22/AI22)</f>
        <v>0</v>
      </c>
      <c r="AN22" s="21" t="n">
        <f aca="false">IF($B22="",-1,AM22-ROW()/100000)</f>
        <v>-0.00022</v>
      </c>
      <c r="AO22" s="1"/>
    </row>
    <row r="23" customFormat="false" ht="18" hidden="false" customHeight="true" outlineLevel="0" collapsed="false">
      <c r="A23" s="1"/>
      <c r="B23" s="16" t="s">
        <v>41</v>
      </c>
      <c r="C23" s="17" t="b">
        <f aca="false">FALSE()</f>
        <v>0</v>
      </c>
      <c r="D23" s="17" t="b">
        <f aca="false">FALSE()</f>
        <v>0</v>
      </c>
      <c r="E23" s="17" t="b">
        <f aca="false">FALSE()</f>
        <v>0</v>
      </c>
      <c r="F23" s="17" t="b">
        <f aca="false">FALSE()</f>
        <v>0</v>
      </c>
      <c r="G23" s="17" t="b">
        <f aca="false">FALSE()</f>
        <v>0</v>
      </c>
      <c r="H23" s="17" t="b">
        <f aca="false">FALSE()</f>
        <v>0</v>
      </c>
      <c r="I23" s="17" t="b">
        <f aca="false">FALSE()</f>
        <v>0</v>
      </c>
      <c r="J23" s="17" t="b">
        <f aca="false">FALSE()</f>
        <v>0</v>
      </c>
      <c r="K23" s="17" t="b">
        <f aca="false">FALSE()</f>
        <v>0</v>
      </c>
      <c r="L23" s="17" t="b">
        <f aca="false">FALSE()</f>
        <v>0</v>
      </c>
      <c r="M23" s="17" t="b">
        <f aca="false">FALSE()</f>
        <v>0</v>
      </c>
      <c r="N23" s="17" t="b">
        <f aca="false">FALSE()</f>
        <v>0</v>
      </c>
      <c r="O23" s="17" t="b">
        <f aca="false">FALSE()</f>
        <v>0</v>
      </c>
      <c r="P23" s="17" t="b">
        <f aca="false">FALSE()</f>
        <v>0</v>
      </c>
      <c r="Q23" s="17" t="b">
        <f aca="false">FALSE()</f>
        <v>0</v>
      </c>
      <c r="R23" s="17" t="b">
        <f aca="false">FALSE()</f>
        <v>0</v>
      </c>
      <c r="S23" s="17" t="b">
        <f aca="false">FALSE()</f>
        <v>0</v>
      </c>
      <c r="T23" s="17" t="b">
        <f aca="false">FALSE()</f>
        <v>0</v>
      </c>
      <c r="U23" s="17" t="b">
        <f aca="false">FALSE()</f>
        <v>0</v>
      </c>
      <c r="V23" s="17" t="b">
        <f aca="false">FALSE()</f>
        <v>0</v>
      </c>
      <c r="W23" s="17" t="b">
        <f aca="false">FALSE()</f>
        <v>0</v>
      </c>
      <c r="X23" s="17" t="b">
        <f aca="false">FALSE()</f>
        <v>0</v>
      </c>
      <c r="Y23" s="17" t="b">
        <f aca="false">FALSE()</f>
        <v>0</v>
      </c>
      <c r="Z23" s="17" t="b">
        <f aca="false">FALSE()</f>
        <v>0</v>
      </c>
      <c r="AA23" s="17" t="b">
        <f aca="false">FALSE()</f>
        <v>0</v>
      </c>
      <c r="AB23" s="17" t="b">
        <f aca="false">FALSE()</f>
        <v>0</v>
      </c>
      <c r="AC23" s="17" t="b">
        <f aca="false">FALSE()</f>
        <v>0</v>
      </c>
      <c r="AD23" s="17" t="b">
        <f aca="false">FALSE()</f>
        <v>0</v>
      </c>
      <c r="AE23" s="17" t="b">
        <f aca="false">FALSE()</f>
        <v>0</v>
      </c>
      <c r="AF23" s="17" t="b">
        <f aca="false">FALSE()</f>
        <v>0</v>
      </c>
      <c r="AG23" s="17" t="b">
        <f aca="false">FALSE()</f>
        <v>0</v>
      </c>
      <c r="AH23" s="1"/>
      <c r="AI23" s="18" t="n">
        <f aca="false">IF($B23="","",$AP$3)</f>
        <v>30</v>
      </c>
      <c r="AJ23" s="18" t="n">
        <f aca="false">IF($B23="","",COUNTIF(C23:AG23,TRUE()))</f>
        <v>0</v>
      </c>
      <c r="AK23" s="18" t="n">
        <f aca="false">IF($B23="","",AI23-AJ23)</f>
        <v>30</v>
      </c>
      <c r="AL23" s="19" t="n">
        <f aca="false">IF($B23="","",AJ23/AI23)</f>
        <v>0</v>
      </c>
      <c r="AM23" s="20" t="n">
        <f aca="false">IF($B23="","",AJ23/AI23)</f>
        <v>0</v>
      </c>
      <c r="AN23" s="21" t="n">
        <f aca="false">IF($B23="",-1,AM23-ROW()/100000)</f>
        <v>-0.00023</v>
      </c>
      <c r="AO23" s="1"/>
    </row>
    <row r="24" customFormat="false" ht="18" hidden="false" customHeight="true" outlineLevel="0" collapsed="false">
      <c r="A24" s="1"/>
      <c r="B24" s="16" t="s">
        <v>42</v>
      </c>
      <c r="C24" s="17" t="b">
        <f aca="false">FALSE()</f>
        <v>0</v>
      </c>
      <c r="D24" s="17" t="b">
        <f aca="false">FALSE()</f>
        <v>0</v>
      </c>
      <c r="E24" s="17" t="b">
        <f aca="false">FALSE()</f>
        <v>0</v>
      </c>
      <c r="F24" s="17" t="b">
        <f aca="false">FALSE()</f>
        <v>0</v>
      </c>
      <c r="G24" s="17" t="b">
        <f aca="false">FALSE()</f>
        <v>0</v>
      </c>
      <c r="H24" s="17" t="b">
        <f aca="false">FALSE()</f>
        <v>0</v>
      </c>
      <c r="I24" s="17" t="b">
        <f aca="false">FALSE()</f>
        <v>0</v>
      </c>
      <c r="J24" s="17" t="b">
        <f aca="false">FALSE()</f>
        <v>0</v>
      </c>
      <c r="K24" s="17" t="b">
        <f aca="false">FALSE()</f>
        <v>0</v>
      </c>
      <c r="L24" s="17" t="b">
        <f aca="false">FALSE()</f>
        <v>0</v>
      </c>
      <c r="M24" s="17" t="b">
        <f aca="false">FALSE()</f>
        <v>0</v>
      </c>
      <c r="N24" s="17" t="b">
        <f aca="false">FALSE()</f>
        <v>0</v>
      </c>
      <c r="O24" s="17" t="b">
        <f aca="false">FALSE()</f>
        <v>0</v>
      </c>
      <c r="P24" s="17" t="b">
        <f aca="false">FALSE()</f>
        <v>0</v>
      </c>
      <c r="Q24" s="17" t="b">
        <f aca="false">FALSE()</f>
        <v>0</v>
      </c>
      <c r="R24" s="17" t="b">
        <f aca="false">FALSE()</f>
        <v>0</v>
      </c>
      <c r="S24" s="17" t="b">
        <f aca="false">FALSE()</f>
        <v>0</v>
      </c>
      <c r="T24" s="17" t="b">
        <f aca="false">FALSE()</f>
        <v>0</v>
      </c>
      <c r="U24" s="17" t="b">
        <f aca="false">FALSE()</f>
        <v>0</v>
      </c>
      <c r="V24" s="17" t="b">
        <f aca="false">FALSE()</f>
        <v>0</v>
      </c>
      <c r="W24" s="17" t="b">
        <f aca="false">FALSE()</f>
        <v>0</v>
      </c>
      <c r="X24" s="17" t="b">
        <f aca="false">FALSE()</f>
        <v>0</v>
      </c>
      <c r="Y24" s="17" t="b">
        <f aca="false">FALSE()</f>
        <v>0</v>
      </c>
      <c r="Z24" s="17" t="b">
        <f aca="false">FALSE()</f>
        <v>0</v>
      </c>
      <c r="AA24" s="17" t="b">
        <f aca="false">FALSE()</f>
        <v>0</v>
      </c>
      <c r="AB24" s="17" t="b">
        <f aca="false">FALSE()</f>
        <v>0</v>
      </c>
      <c r="AC24" s="17" t="b">
        <f aca="false">FALSE()</f>
        <v>0</v>
      </c>
      <c r="AD24" s="17" t="b">
        <f aca="false">FALSE()</f>
        <v>0</v>
      </c>
      <c r="AE24" s="17" t="b">
        <f aca="false">FALSE()</f>
        <v>0</v>
      </c>
      <c r="AF24" s="17" t="b">
        <f aca="false">FALSE()</f>
        <v>0</v>
      </c>
      <c r="AG24" s="17" t="b">
        <f aca="false">FALSE()</f>
        <v>0</v>
      </c>
      <c r="AH24" s="1"/>
      <c r="AI24" s="18" t="n">
        <f aca="false">IF($B24="","",$AP$3)</f>
        <v>30</v>
      </c>
      <c r="AJ24" s="18" t="n">
        <f aca="false">IF($B24="","",COUNTIF(C24:AG24,TRUE()))</f>
        <v>0</v>
      </c>
      <c r="AK24" s="18" t="n">
        <f aca="false">IF($B24="","",AI24-AJ24)</f>
        <v>30</v>
      </c>
      <c r="AL24" s="19" t="n">
        <f aca="false">IF($B24="","",AJ24/AI24)</f>
        <v>0</v>
      </c>
      <c r="AM24" s="20" t="n">
        <f aca="false">IF($B24="","",AJ24/AI24)</f>
        <v>0</v>
      </c>
      <c r="AN24" s="21" t="n">
        <f aca="false">IF($B24="",-1,AM24-ROW()/100000)</f>
        <v>-0.00024</v>
      </c>
      <c r="AO24" s="1"/>
    </row>
    <row r="25" customFormat="false" ht="18" hidden="false" customHeight="true" outlineLevel="0" collapsed="false">
      <c r="A25" s="1"/>
      <c r="B25" s="16" t="s">
        <v>43</v>
      </c>
      <c r="C25" s="17" t="b">
        <f aca="false">FALSE()</f>
        <v>0</v>
      </c>
      <c r="D25" s="17" t="b">
        <f aca="false">FALSE()</f>
        <v>0</v>
      </c>
      <c r="E25" s="17" t="b">
        <f aca="false">FALSE()</f>
        <v>0</v>
      </c>
      <c r="F25" s="17" t="b">
        <f aca="false">FALSE()</f>
        <v>0</v>
      </c>
      <c r="G25" s="17" t="b">
        <f aca="false">FALSE()</f>
        <v>0</v>
      </c>
      <c r="H25" s="17" t="b">
        <f aca="false">FALSE()</f>
        <v>0</v>
      </c>
      <c r="I25" s="17" t="b">
        <f aca="false">FALSE()</f>
        <v>0</v>
      </c>
      <c r="J25" s="17" t="b">
        <f aca="false">FALSE()</f>
        <v>0</v>
      </c>
      <c r="K25" s="17" t="b">
        <f aca="false">FALSE()</f>
        <v>0</v>
      </c>
      <c r="L25" s="17" t="b">
        <f aca="false">FALSE()</f>
        <v>0</v>
      </c>
      <c r="M25" s="17" t="b">
        <f aca="false">FALSE()</f>
        <v>0</v>
      </c>
      <c r="N25" s="17" t="b">
        <f aca="false">FALSE()</f>
        <v>0</v>
      </c>
      <c r="O25" s="17" t="b">
        <f aca="false">FALSE()</f>
        <v>0</v>
      </c>
      <c r="P25" s="17" t="b">
        <f aca="false">FALSE()</f>
        <v>0</v>
      </c>
      <c r="Q25" s="17" t="b">
        <f aca="false">FALSE()</f>
        <v>0</v>
      </c>
      <c r="R25" s="17" t="b">
        <f aca="false">FALSE()</f>
        <v>0</v>
      </c>
      <c r="S25" s="17" t="b">
        <f aca="false">FALSE()</f>
        <v>0</v>
      </c>
      <c r="T25" s="17" t="b">
        <f aca="false">FALSE()</f>
        <v>0</v>
      </c>
      <c r="U25" s="17" t="b">
        <f aca="false">FALSE()</f>
        <v>0</v>
      </c>
      <c r="V25" s="17" t="b">
        <f aca="false">FALSE()</f>
        <v>0</v>
      </c>
      <c r="W25" s="17" t="b">
        <f aca="false">FALSE()</f>
        <v>0</v>
      </c>
      <c r="X25" s="17" t="b">
        <f aca="false">FALSE()</f>
        <v>0</v>
      </c>
      <c r="Y25" s="17" t="b">
        <f aca="false">FALSE()</f>
        <v>0</v>
      </c>
      <c r="Z25" s="17" t="b">
        <f aca="false">FALSE()</f>
        <v>0</v>
      </c>
      <c r="AA25" s="17" t="b">
        <f aca="false">FALSE()</f>
        <v>0</v>
      </c>
      <c r="AB25" s="17" t="b">
        <f aca="false">FALSE()</f>
        <v>0</v>
      </c>
      <c r="AC25" s="17" t="b">
        <f aca="false">FALSE()</f>
        <v>0</v>
      </c>
      <c r="AD25" s="17" t="b">
        <f aca="false">FALSE()</f>
        <v>0</v>
      </c>
      <c r="AE25" s="17" t="b">
        <f aca="false">FALSE()</f>
        <v>0</v>
      </c>
      <c r="AF25" s="17" t="b">
        <f aca="false">FALSE()</f>
        <v>0</v>
      </c>
      <c r="AG25" s="17" t="b">
        <f aca="false">FALSE()</f>
        <v>0</v>
      </c>
      <c r="AH25" s="1"/>
      <c r="AI25" s="18" t="n">
        <f aca="false">IF($B25="","",$AP$3)</f>
        <v>30</v>
      </c>
      <c r="AJ25" s="18" t="n">
        <f aca="false">IF($B25="","",COUNTIF(C25:AG25,TRUE()))</f>
        <v>0</v>
      </c>
      <c r="AK25" s="18" t="n">
        <f aca="false">IF($B25="","",AI25-AJ25)</f>
        <v>30</v>
      </c>
      <c r="AL25" s="19" t="n">
        <f aca="false">IF($B25="","",AJ25/AI25)</f>
        <v>0</v>
      </c>
      <c r="AM25" s="20" t="n">
        <f aca="false">IF($B25="","",AJ25/AI25)</f>
        <v>0</v>
      </c>
      <c r="AN25" s="21" t="n">
        <f aca="false">IF($B25="",-1,AM25-ROW()/100000)</f>
        <v>-0.00025</v>
      </c>
      <c r="AO25" s="1"/>
    </row>
    <row r="26" customFormat="false" ht="18" hidden="false" customHeight="true" outlineLevel="0" collapsed="false">
      <c r="A26" s="1"/>
      <c r="B26" s="16" t="s">
        <v>44</v>
      </c>
      <c r="C26" s="17" t="b">
        <f aca="false">FALSE()</f>
        <v>0</v>
      </c>
      <c r="D26" s="17" t="b">
        <f aca="false">FALSE()</f>
        <v>0</v>
      </c>
      <c r="E26" s="17" t="b">
        <f aca="false">FALSE()</f>
        <v>0</v>
      </c>
      <c r="F26" s="17" t="b">
        <f aca="false">FALSE()</f>
        <v>0</v>
      </c>
      <c r="G26" s="17" t="b">
        <f aca="false">FALSE()</f>
        <v>0</v>
      </c>
      <c r="H26" s="17" t="b">
        <f aca="false">FALSE()</f>
        <v>0</v>
      </c>
      <c r="I26" s="17" t="b">
        <f aca="false">FALSE()</f>
        <v>0</v>
      </c>
      <c r="J26" s="17" t="b">
        <f aca="false">FALSE()</f>
        <v>0</v>
      </c>
      <c r="K26" s="17" t="b">
        <f aca="false">FALSE()</f>
        <v>0</v>
      </c>
      <c r="L26" s="17" t="b">
        <f aca="false">FALSE()</f>
        <v>0</v>
      </c>
      <c r="M26" s="17" t="b">
        <f aca="false">FALSE()</f>
        <v>0</v>
      </c>
      <c r="N26" s="17" t="b">
        <f aca="false">FALSE()</f>
        <v>0</v>
      </c>
      <c r="O26" s="17" t="b">
        <f aca="false">FALSE()</f>
        <v>0</v>
      </c>
      <c r="P26" s="17" t="b">
        <f aca="false">FALSE()</f>
        <v>0</v>
      </c>
      <c r="Q26" s="17" t="b">
        <f aca="false">FALSE()</f>
        <v>0</v>
      </c>
      <c r="R26" s="17" t="b">
        <f aca="false">FALSE()</f>
        <v>0</v>
      </c>
      <c r="S26" s="17" t="b">
        <f aca="false">FALSE()</f>
        <v>0</v>
      </c>
      <c r="T26" s="17" t="b">
        <f aca="false">FALSE()</f>
        <v>0</v>
      </c>
      <c r="U26" s="17" t="b">
        <f aca="false">FALSE()</f>
        <v>0</v>
      </c>
      <c r="V26" s="17" t="b">
        <f aca="false">FALSE()</f>
        <v>0</v>
      </c>
      <c r="W26" s="17" t="b">
        <f aca="false">FALSE()</f>
        <v>0</v>
      </c>
      <c r="X26" s="17" t="b">
        <f aca="false">FALSE()</f>
        <v>0</v>
      </c>
      <c r="Y26" s="17" t="b">
        <f aca="false">FALSE()</f>
        <v>0</v>
      </c>
      <c r="Z26" s="17" t="b">
        <f aca="false">FALSE()</f>
        <v>0</v>
      </c>
      <c r="AA26" s="17" t="b">
        <f aca="false">FALSE()</f>
        <v>0</v>
      </c>
      <c r="AB26" s="17" t="b">
        <f aca="false">FALSE()</f>
        <v>0</v>
      </c>
      <c r="AC26" s="17" t="b">
        <f aca="false">FALSE()</f>
        <v>0</v>
      </c>
      <c r="AD26" s="17" t="b">
        <f aca="false">FALSE()</f>
        <v>0</v>
      </c>
      <c r="AE26" s="17" t="b">
        <f aca="false">FALSE()</f>
        <v>0</v>
      </c>
      <c r="AF26" s="17" t="b">
        <f aca="false">FALSE()</f>
        <v>0</v>
      </c>
      <c r="AG26" s="17" t="b">
        <f aca="false">FALSE()</f>
        <v>0</v>
      </c>
      <c r="AH26" s="1"/>
      <c r="AI26" s="18" t="n">
        <f aca="false">IF($B26="","",$AP$3)</f>
        <v>30</v>
      </c>
      <c r="AJ26" s="18" t="n">
        <f aca="false">IF($B26="","",COUNTIF(C26:AG26,TRUE()))</f>
        <v>0</v>
      </c>
      <c r="AK26" s="18" t="n">
        <f aca="false">IF($B26="","",AI26-AJ26)</f>
        <v>30</v>
      </c>
      <c r="AL26" s="19" t="n">
        <f aca="false">IF($B26="","",AJ26/AI26)</f>
        <v>0</v>
      </c>
      <c r="AM26" s="20" t="n">
        <f aca="false">IF($B26="","",AJ26/AI26)</f>
        <v>0</v>
      </c>
      <c r="AN26" s="21" t="n">
        <f aca="false">IF($B26="",-1,AM26-ROW()/100000)</f>
        <v>-0.00026</v>
      </c>
      <c r="AO26" s="1"/>
    </row>
    <row r="27" customFormat="false" ht="18" hidden="false" customHeight="true" outlineLevel="0" collapsed="false">
      <c r="A27" s="1"/>
      <c r="B27" s="16"/>
      <c r="C27" s="17" t="b">
        <f aca="false">FALSE()</f>
        <v>0</v>
      </c>
      <c r="D27" s="17" t="b">
        <f aca="false">FALSE()</f>
        <v>0</v>
      </c>
      <c r="E27" s="17" t="b">
        <f aca="false">FALSE()</f>
        <v>0</v>
      </c>
      <c r="F27" s="17" t="b">
        <f aca="false">FALSE()</f>
        <v>0</v>
      </c>
      <c r="G27" s="17" t="b">
        <f aca="false">FALSE()</f>
        <v>0</v>
      </c>
      <c r="H27" s="17" t="b">
        <f aca="false">FALSE()</f>
        <v>0</v>
      </c>
      <c r="I27" s="17" t="b">
        <f aca="false">FALSE()</f>
        <v>0</v>
      </c>
      <c r="J27" s="17" t="b">
        <f aca="false">FALSE()</f>
        <v>0</v>
      </c>
      <c r="K27" s="17" t="b">
        <f aca="false">FALSE()</f>
        <v>0</v>
      </c>
      <c r="L27" s="17" t="b">
        <f aca="false">FALSE()</f>
        <v>0</v>
      </c>
      <c r="M27" s="17" t="b">
        <f aca="false">FALSE()</f>
        <v>0</v>
      </c>
      <c r="N27" s="17" t="b">
        <f aca="false">FALSE()</f>
        <v>0</v>
      </c>
      <c r="O27" s="17" t="b">
        <f aca="false">FALSE()</f>
        <v>0</v>
      </c>
      <c r="P27" s="17" t="b">
        <f aca="false">FALSE()</f>
        <v>0</v>
      </c>
      <c r="Q27" s="17" t="b">
        <f aca="false">FALSE()</f>
        <v>0</v>
      </c>
      <c r="R27" s="17" t="b">
        <f aca="false">FALSE()</f>
        <v>0</v>
      </c>
      <c r="S27" s="17" t="b">
        <f aca="false">FALSE()</f>
        <v>0</v>
      </c>
      <c r="T27" s="17" t="b">
        <f aca="false">FALSE()</f>
        <v>0</v>
      </c>
      <c r="U27" s="17" t="b">
        <f aca="false">FALSE()</f>
        <v>0</v>
      </c>
      <c r="V27" s="17" t="b">
        <f aca="false">FALSE()</f>
        <v>0</v>
      </c>
      <c r="W27" s="17" t="b">
        <f aca="false">FALSE()</f>
        <v>0</v>
      </c>
      <c r="X27" s="17" t="b">
        <f aca="false">FALSE()</f>
        <v>0</v>
      </c>
      <c r="Y27" s="17" t="b">
        <f aca="false">FALSE()</f>
        <v>0</v>
      </c>
      <c r="Z27" s="17" t="b">
        <f aca="false">FALSE()</f>
        <v>0</v>
      </c>
      <c r="AA27" s="17" t="b">
        <f aca="false">FALSE()</f>
        <v>0</v>
      </c>
      <c r="AB27" s="17" t="b">
        <f aca="false">FALSE()</f>
        <v>0</v>
      </c>
      <c r="AC27" s="17" t="b">
        <f aca="false">FALSE()</f>
        <v>0</v>
      </c>
      <c r="AD27" s="17" t="b">
        <f aca="false">FALSE()</f>
        <v>0</v>
      </c>
      <c r="AE27" s="17" t="b">
        <f aca="false">FALSE()</f>
        <v>0</v>
      </c>
      <c r="AF27" s="17" t="b">
        <f aca="false">FALSE()</f>
        <v>0</v>
      </c>
      <c r="AG27" s="17" t="b">
        <f aca="false">FALSE()</f>
        <v>0</v>
      </c>
      <c r="AH27" s="1"/>
      <c r="AI27" s="18" t="str">
        <f aca="false">IF($B27="","",$AP$3)</f>
        <v/>
      </c>
      <c r="AJ27" s="18" t="str">
        <f aca="false">IF($B27="","",COUNTIF(C27:AG27,TRUE()))</f>
        <v/>
      </c>
      <c r="AK27" s="18" t="str">
        <f aca="false">IF($B27="","",AI27-AJ27)</f>
        <v/>
      </c>
      <c r="AL27" s="19" t="str">
        <f aca="false">IF($B27="","",AJ27/AI27)</f>
        <v/>
      </c>
      <c r="AM27" s="20" t="str">
        <f aca="false">IF($B27="","",AJ27/AI27)</f>
        <v/>
      </c>
      <c r="AN27" s="1" t="n">
        <f aca="false">IF($B27="",-1,AM27-ROW()/100000)</f>
        <v>-1</v>
      </c>
      <c r="AO27" s="1"/>
    </row>
    <row r="28" customFormat="false" ht="18" hidden="false" customHeight="true" outlineLevel="0" collapsed="false">
      <c r="A28" s="1"/>
      <c r="B28" s="16"/>
      <c r="C28" s="17" t="b">
        <f aca="false">FALSE()</f>
        <v>0</v>
      </c>
      <c r="D28" s="17" t="b">
        <f aca="false">FALSE()</f>
        <v>0</v>
      </c>
      <c r="E28" s="17" t="b">
        <f aca="false">FALSE()</f>
        <v>0</v>
      </c>
      <c r="F28" s="17" t="b">
        <f aca="false">FALSE()</f>
        <v>0</v>
      </c>
      <c r="G28" s="17" t="b">
        <f aca="false">FALSE()</f>
        <v>0</v>
      </c>
      <c r="H28" s="17" t="b">
        <f aca="false">FALSE()</f>
        <v>0</v>
      </c>
      <c r="I28" s="17" t="b">
        <f aca="false">FALSE()</f>
        <v>0</v>
      </c>
      <c r="J28" s="17" t="b">
        <f aca="false">FALSE()</f>
        <v>0</v>
      </c>
      <c r="K28" s="17" t="b">
        <f aca="false">FALSE()</f>
        <v>0</v>
      </c>
      <c r="L28" s="17" t="b">
        <f aca="false">FALSE()</f>
        <v>0</v>
      </c>
      <c r="M28" s="17" t="b">
        <f aca="false">FALSE()</f>
        <v>0</v>
      </c>
      <c r="N28" s="17" t="b">
        <f aca="false">FALSE()</f>
        <v>0</v>
      </c>
      <c r="O28" s="17" t="b">
        <f aca="false">FALSE()</f>
        <v>0</v>
      </c>
      <c r="P28" s="17" t="b">
        <f aca="false">FALSE()</f>
        <v>0</v>
      </c>
      <c r="Q28" s="17" t="b">
        <f aca="false">FALSE()</f>
        <v>0</v>
      </c>
      <c r="R28" s="17" t="b">
        <f aca="false">FALSE()</f>
        <v>0</v>
      </c>
      <c r="S28" s="17" t="b">
        <f aca="false">FALSE()</f>
        <v>0</v>
      </c>
      <c r="T28" s="17" t="b">
        <f aca="false">FALSE()</f>
        <v>0</v>
      </c>
      <c r="U28" s="17" t="b">
        <f aca="false">FALSE()</f>
        <v>0</v>
      </c>
      <c r="V28" s="17" t="b">
        <f aca="false">FALSE()</f>
        <v>0</v>
      </c>
      <c r="W28" s="17" t="b">
        <f aca="false">FALSE()</f>
        <v>0</v>
      </c>
      <c r="X28" s="17" t="b">
        <f aca="false">FALSE()</f>
        <v>0</v>
      </c>
      <c r="Y28" s="17" t="b">
        <f aca="false">FALSE()</f>
        <v>0</v>
      </c>
      <c r="Z28" s="17" t="b">
        <f aca="false">FALSE()</f>
        <v>0</v>
      </c>
      <c r="AA28" s="17" t="b">
        <f aca="false">FALSE()</f>
        <v>0</v>
      </c>
      <c r="AB28" s="17" t="b">
        <f aca="false">FALSE()</f>
        <v>0</v>
      </c>
      <c r="AC28" s="17" t="b">
        <f aca="false">FALSE()</f>
        <v>0</v>
      </c>
      <c r="AD28" s="17" t="b">
        <f aca="false">FALSE()</f>
        <v>0</v>
      </c>
      <c r="AE28" s="17" t="b">
        <f aca="false">FALSE()</f>
        <v>0</v>
      </c>
      <c r="AF28" s="17" t="b">
        <f aca="false">FALSE()</f>
        <v>0</v>
      </c>
      <c r="AG28" s="17" t="b">
        <f aca="false">FALSE()</f>
        <v>0</v>
      </c>
      <c r="AH28" s="1"/>
      <c r="AI28" s="18" t="str">
        <f aca="false">IF($B28="","",$AP$3)</f>
        <v/>
      </c>
      <c r="AJ28" s="18" t="str">
        <f aca="false">IF($B28="","",COUNTIF(C28:AG28,TRUE()))</f>
        <v/>
      </c>
      <c r="AK28" s="18" t="str">
        <f aca="false">IF($B28="","",AI28-AJ28)</f>
        <v/>
      </c>
      <c r="AL28" s="19" t="str">
        <f aca="false">IF($B28="","",AJ28/AI28)</f>
        <v/>
      </c>
      <c r="AM28" s="20" t="str">
        <f aca="false">IF($B28="","",AJ28/AI28)</f>
        <v/>
      </c>
      <c r="AN28" s="1" t="n">
        <f aca="false">IF($B28="",-1,AM28-ROW()/100000)</f>
        <v>-1</v>
      </c>
      <c r="AO28" s="1"/>
    </row>
    <row r="29" customFormat="false" ht="15" hidden="false" customHeight="false" outlineLevel="0" collapsed="false">
      <c r="A29" s="1"/>
      <c r="B29" s="22" t="s">
        <v>45</v>
      </c>
      <c r="C29" s="23" t="n">
        <f aca="false">IF(OR(C$16="",SUMPRODUCT(--(LEN($B$17:$B$28)&gt;0))=0),"",SUMPRODUCT(($B$17:$B$28&lt;&gt;"")*(C$17:C$28=TRUE()))/SUMPRODUCT(--(LEN($B$17:$B$28)&gt;0)))</f>
        <v>0</v>
      </c>
      <c r="D29" s="23" t="n">
        <f aca="false">IF(OR(D$16="",SUMPRODUCT(--(LEN($B$17:$B$28)&gt;0))=0),"",SUMPRODUCT(($B$17:$B$28&lt;&gt;"")*(D$17:D$28=TRUE()))/SUMPRODUCT(--(LEN($B$17:$B$28)&gt;0)))</f>
        <v>0</v>
      </c>
      <c r="E29" s="23" t="n">
        <f aca="false">IF(OR(E$16="",SUMPRODUCT(--(LEN($B$17:$B$28)&gt;0))=0),"",SUMPRODUCT(($B$17:$B$28&lt;&gt;"")*(E$17:E$28=TRUE()))/SUMPRODUCT(--(LEN($B$17:$B$28)&gt;0)))</f>
        <v>0</v>
      </c>
      <c r="F29" s="23" t="n">
        <f aca="false">IF(OR(F$16="",SUMPRODUCT(--(LEN($B$17:$B$28)&gt;0))=0),"",SUMPRODUCT(($B$17:$B$28&lt;&gt;"")*(F$17:F$28=TRUE()))/SUMPRODUCT(--(LEN($B$17:$B$28)&gt;0)))</f>
        <v>0</v>
      </c>
      <c r="G29" s="23" t="n">
        <f aca="false">IF(OR(G$16="",SUMPRODUCT(--(LEN($B$17:$B$28)&gt;0))=0),"",SUMPRODUCT(($B$17:$B$28&lt;&gt;"")*(G$17:G$28=TRUE()))/SUMPRODUCT(--(LEN($B$17:$B$28)&gt;0)))</f>
        <v>0</v>
      </c>
      <c r="H29" s="23" t="n">
        <f aca="false">IF(OR(H$16="",SUMPRODUCT(--(LEN($B$17:$B$28)&gt;0))=0),"",SUMPRODUCT(($B$17:$B$28&lt;&gt;"")*(H$17:H$28=TRUE()))/SUMPRODUCT(--(LEN($B$17:$B$28)&gt;0)))</f>
        <v>0</v>
      </c>
      <c r="I29" s="23" t="n">
        <f aca="false">IF(OR(I$16="",SUMPRODUCT(--(LEN($B$17:$B$28)&gt;0))=0),"",SUMPRODUCT(($B$17:$B$28&lt;&gt;"")*(I$17:I$28=TRUE()))/SUMPRODUCT(--(LEN($B$17:$B$28)&gt;0)))</f>
        <v>0</v>
      </c>
      <c r="J29" s="23" t="n">
        <f aca="false">IF(OR(J$16="",SUMPRODUCT(--(LEN($B$17:$B$28)&gt;0))=0),"",SUMPRODUCT(($B$17:$B$28&lt;&gt;"")*(J$17:J$28=TRUE()))/SUMPRODUCT(--(LEN($B$17:$B$28)&gt;0)))</f>
        <v>0</v>
      </c>
      <c r="K29" s="23" t="n">
        <f aca="false">IF(OR(K$16="",SUMPRODUCT(--(LEN($B$17:$B$28)&gt;0))=0),"",SUMPRODUCT(($B$17:$B$28&lt;&gt;"")*(K$17:K$28=TRUE()))/SUMPRODUCT(--(LEN($B$17:$B$28)&gt;0)))</f>
        <v>0</v>
      </c>
      <c r="L29" s="23" t="n">
        <f aca="false">IF(OR(L$16="",SUMPRODUCT(--(LEN($B$17:$B$28)&gt;0))=0),"",SUMPRODUCT(($B$17:$B$28&lt;&gt;"")*(L$17:L$28=TRUE()))/SUMPRODUCT(--(LEN($B$17:$B$28)&gt;0)))</f>
        <v>0</v>
      </c>
      <c r="M29" s="23" t="n">
        <f aca="false">IF(OR(M$16="",SUMPRODUCT(--(LEN($B$17:$B$28)&gt;0))=0),"",SUMPRODUCT(($B$17:$B$28&lt;&gt;"")*(M$17:M$28=TRUE()))/SUMPRODUCT(--(LEN($B$17:$B$28)&gt;0)))</f>
        <v>0</v>
      </c>
      <c r="N29" s="23" t="n">
        <f aca="false">IF(OR(N$16="",SUMPRODUCT(--(LEN($B$17:$B$28)&gt;0))=0),"",SUMPRODUCT(($B$17:$B$28&lt;&gt;"")*(N$17:N$28=TRUE()))/SUMPRODUCT(--(LEN($B$17:$B$28)&gt;0)))</f>
        <v>0</v>
      </c>
      <c r="O29" s="23" t="n">
        <f aca="false">IF(OR(O$16="",SUMPRODUCT(--(LEN($B$17:$B$28)&gt;0))=0),"",SUMPRODUCT(($B$17:$B$28&lt;&gt;"")*(O$17:O$28=TRUE()))/SUMPRODUCT(--(LEN($B$17:$B$28)&gt;0)))</f>
        <v>0</v>
      </c>
      <c r="P29" s="23" t="n">
        <f aca="false">IF(OR(P$16="",SUMPRODUCT(--(LEN($B$17:$B$28)&gt;0))=0),"",SUMPRODUCT(($B$17:$B$28&lt;&gt;"")*(P$17:P$28=TRUE()))/SUMPRODUCT(--(LEN($B$17:$B$28)&gt;0)))</f>
        <v>0</v>
      </c>
      <c r="Q29" s="23" t="n">
        <f aca="false">IF(OR(Q$16="",SUMPRODUCT(--(LEN($B$17:$B$28)&gt;0))=0),"",SUMPRODUCT(($B$17:$B$28&lt;&gt;"")*(Q$17:Q$28=TRUE()))/SUMPRODUCT(--(LEN($B$17:$B$28)&gt;0)))</f>
        <v>0</v>
      </c>
      <c r="R29" s="23" t="n">
        <f aca="false">IF(OR(R$16="",SUMPRODUCT(--(LEN($B$17:$B$28)&gt;0))=0),"",SUMPRODUCT(($B$17:$B$28&lt;&gt;"")*(R$17:R$28=TRUE()))/SUMPRODUCT(--(LEN($B$17:$B$28)&gt;0)))</f>
        <v>0</v>
      </c>
      <c r="S29" s="23" t="n">
        <f aca="false">IF(OR(S$16="",SUMPRODUCT(--(LEN($B$17:$B$28)&gt;0))=0),"",SUMPRODUCT(($B$17:$B$28&lt;&gt;"")*(S$17:S$28=TRUE()))/SUMPRODUCT(--(LEN($B$17:$B$28)&gt;0)))</f>
        <v>0</v>
      </c>
      <c r="T29" s="23" t="n">
        <f aca="false">IF(OR(T$16="",SUMPRODUCT(--(LEN($B$17:$B$28)&gt;0))=0),"",SUMPRODUCT(($B$17:$B$28&lt;&gt;"")*(T$17:T$28=TRUE()))/SUMPRODUCT(--(LEN($B$17:$B$28)&gt;0)))</f>
        <v>0</v>
      </c>
      <c r="U29" s="23" t="n">
        <f aca="false">IF(OR(U$16="",SUMPRODUCT(--(LEN($B$17:$B$28)&gt;0))=0),"",SUMPRODUCT(($B$17:$B$28&lt;&gt;"")*(U$17:U$28=TRUE()))/SUMPRODUCT(--(LEN($B$17:$B$28)&gt;0)))</f>
        <v>0</v>
      </c>
      <c r="V29" s="23" t="n">
        <f aca="false">IF(OR(V$16="",SUMPRODUCT(--(LEN($B$17:$B$28)&gt;0))=0),"",SUMPRODUCT(($B$17:$B$28&lt;&gt;"")*(V$17:V$28=TRUE()))/SUMPRODUCT(--(LEN($B$17:$B$28)&gt;0)))</f>
        <v>0</v>
      </c>
      <c r="W29" s="23" t="n">
        <f aca="false">IF(OR(W$16="",SUMPRODUCT(--(LEN($B$17:$B$28)&gt;0))=0),"",SUMPRODUCT(($B$17:$B$28&lt;&gt;"")*(W$17:W$28=TRUE()))/SUMPRODUCT(--(LEN($B$17:$B$28)&gt;0)))</f>
        <v>0</v>
      </c>
      <c r="X29" s="23" t="n">
        <f aca="false">IF(OR(X$16="",SUMPRODUCT(--(LEN($B$17:$B$28)&gt;0))=0),"",SUMPRODUCT(($B$17:$B$28&lt;&gt;"")*(X$17:X$28=TRUE()))/SUMPRODUCT(--(LEN($B$17:$B$28)&gt;0)))</f>
        <v>0</v>
      </c>
      <c r="Y29" s="23" t="n">
        <f aca="false">IF(OR(Y$16="",SUMPRODUCT(--(LEN($B$17:$B$28)&gt;0))=0),"",SUMPRODUCT(($B$17:$B$28&lt;&gt;"")*(Y$17:Y$28=TRUE()))/SUMPRODUCT(--(LEN($B$17:$B$28)&gt;0)))</f>
        <v>0</v>
      </c>
      <c r="Z29" s="23" t="n">
        <f aca="false">IF(OR(Z$16="",SUMPRODUCT(--(LEN($B$17:$B$28)&gt;0))=0),"",SUMPRODUCT(($B$17:$B$28&lt;&gt;"")*(Z$17:Z$28=TRUE()))/SUMPRODUCT(--(LEN($B$17:$B$28)&gt;0)))</f>
        <v>0</v>
      </c>
      <c r="AA29" s="23" t="n">
        <f aca="false">IF(OR(AA$16="",SUMPRODUCT(--(LEN($B$17:$B$28)&gt;0))=0),"",SUMPRODUCT(($B$17:$B$28&lt;&gt;"")*(AA$17:AA$28=TRUE()))/SUMPRODUCT(--(LEN($B$17:$B$28)&gt;0)))</f>
        <v>0</v>
      </c>
      <c r="AB29" s="23" t="n">
        <f aca="false">IF(OR(AB$16="",SUMPRODUCT(--(LEN($B$17:$B$28)&gt;0))=0),"",SUMPRODUCT(($B$17:$B$28&lt;&gt;"")*(AB$17:AB$28=TRUE()))/SUMPRODUCT(--(LEN($B$17:$B$28)&gt;0)))</f>
        <v>0</v>
      </c>
      <c r="AC29" s="23" t="n">
        <f aca="false">IF(OR(AC$16="",SUMPRODUCT(--(LEN($B$17:$B$28)&gt;0))=0),"",SUMPRODUCT(($B$17:$B$28&lt;&gt;"")*(AC$17:AC$28=TRUE()))/SUMPRODUCT(--(LEN($B$17:$B$28)&gt;0)))</f>
        <v>0</v>
      </c>
      <c r="AD29" s="23" t="n">
        <f aca="false">IF(OR(AD$16="",SUMPRODUCT(--(LEN($B$17:$B$28)&gt;0))=0),"",SUMPRODUCT(($B$17:$B$28&lt;&gt;"")*(AD$17:AD$28=TRUE()))/SUMPRODUCT(--(LEN($B$17:$B$28)&gt;0)))</f>
        <v>0</v>
      </c>
      <c r="AE29" s="23" t="n">
        <f aca="false">IF(OR(AE$16="",SUMPRODUCT(--(LEN($B$17:$B$28)&gt;0))=0),"",SUMPRODUCT(($B$17:$B$28&lt;&gt;"")*(AE$17:AE$28=TRUE()))/SUMPRODUCT(--(LEN($B$17:$B$28)&gt;0)))</f>
        <v>0</v>
      </c>
      <c r="AF29" s="23" t="n">
        <f aca="false">IF(OR(AF$16="",SUMPRODUCT(--(LEN($B$17:$B$28)&gt;0))=0),"",SUMPRODUCT(($B$17:$B$28&lt;&gt;"")*(AF$17:AF$28=TRUE()))/SUMPRODUCT(--(LEN($B$17:$B$28)&gt;0)))</f>
        <v>0</v>
      </c>
      <c r="AG29" s="23" t="str">
        <f aca="false">IF(OR(AG$16="",SUMPRODUCT(--(LEN($B$17:$B$28)&gt;0))=0),"",SUMPRODUCT(($B$17:$B$28&lt;&gt;"")*(AG$17:AG$28=TRUE()))/SUMPRODUCT(--(LEN($B$17:$B$28)&gt;0)))</f>
        <v/>
      </c>
      <c r="AH29" s="1"/>
      <c r="AI29" s="1"/>
      <c r="AJ29" s="1"/>
      <c r="AK29" s="1"/>
      <c r="AL29" s="1"/>
      <c r="AM29" s="1"/>
      <c r="AN29" s="1"/>
      <c r="AO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</row>
    <row r="31" customFormat="false" ht="15" hidden="false" customHeight="false" outlineLevel="0" collapsed="false">
      <c r="A31" s="1"/>
      <c r="B31" s="24"/>
      <c r="C31" s="12" t="s">
        <v>46</v>
      </c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"/>
      <c r="AI31" s="25" t="s">
        <v>47</v>
      </c>
      <c r="AJ31" s="25"/>
      <c r="AK31" s="25"/>
      <c r="AL31" s="25"/>
      <c r="AM31" s="25"/>
      <c r="AN31" s="1"/>
      <c r="AO31" s="1"/>
    </row>
    <row r="32" customFormat="false" ht="15.75" hidden="false" customHeight="true" outlineLevel="0" collapsed="false">
      <c r="A32" s="1"/>
      <c r="B32" s="7" t="s">
        <v>48</v>
      </c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1"/>
      <c r="AI32" s="27" t="n">
        <v>1</v>
      </c>
      <c r="AJ32" s="28" t="str">
        <f aca="false">IF(LARGE($AN$17:$AN$28,1)&lt;0,"",INDEX($B$17:$B$28,MATCH(LARGE($AN$17:$AN$28,1),$AN$17:$AN$28,0)))</f>
        <v/>
      </c>
      <c r="AK32" s="28"/>
      <c r="AL32" s="28"/>
      <c r="AM32" s="29" t="str">
        <f aca="false">IF(AJ32="","",INDEX($AM$17:$AM$28,MATCH(LARGE($AN$17:$AN$28,1),$AN$17:$AN$28,0)))</f>
        <v/>
      </c>
      <c r="AN32" s="1"/>
      <c r="AO32" s="1"/>
    </row>
    <row r="33" customFormat="false" ht="15.75" hidden="false" customHeight="true" outlineLevel="0" collapsed="false">
      <c r="A33" s="1"/>
      <c r="B33" s="7" t="s">
        <v>49</v>
      </c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1"/>
      <c r="AI33" s="27" t="n">
        <v>2</v>
      </c>
      <c r="AJ33" s="28" t="str">
        <f aca="false">IF(LARGE($AN$17:$AN$28,2)&lt;0,"",INDEX($B$17:$B$28,MATCH(LARGE($AN$17:$AN$28,2),$AN$17:$AN$28,0)))</f>
        <v/>
      </c>
      <c r="AK33" s="28"/>
      <c r="AL33" s="28"/>
      <c r="AM33" s="29" t="str">
        <f aca="false">IF(AJ33="","",INDEX($AM$17:$AM$28,MATCH(LARGE($AN$17:$AN$28,2),$AN$17:$AN$28,0)))</f>
        <v/>
      </c>
      <c r="AN33" s="1"/>
      <c r="AO33" s="1"/>
    </row>
    <row r="34" customFormat="false" ht="15.75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27" t="n">
        <v>3</v>
      </c>
      <c r="AJ34" s="28" t="str">
        <f aca="false">IF(LARGE($AN$17:$AN$28,3)&lt;0,"",INDEX($B$17:$B$28,MATCH(LARGE($AN$17:$AN$28,3),$AN$17:$AN$28,0)))</f>
        <v/>
      </c>
      <c r="AK34" s="28"/>
      <c r="AL34" s="28"/>
      <c r="AM34" s="29" t="str">
        <f aca="false">IF(AJ34="","",INDEX($AM$17:$AM$28,MATCH(LARGE($AN$17:$AN$28,3),$AN$17:$AN$28,0)))</f>
        <v/>
      </c>
      <c r="AN34" s="1"/>
      <c r="AO34" s="1"/>
    </row>
    <row r="35" customFormat="false" ht="15.75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27" t="n">
        <v>4</v>
      </c>
      <c r="AJ35" s="28" t="str">
        <f aca="false">IF(LARGE($AN$17:$AN$28,4)&lt;0,"",INDEX($B$17:$B$28,MATCH(LARGE($AN$17:$AN$28,4),$AN$17:$AN$28,0)))</f>
        <v/>
      </c>
      <c r="AK35" s="28"/>
      <c r="AL35" s="28"/>
      <c r="AM35" s="29" t="str">
        <f aca="false">IF(AJ35="","",INDEX($AM$17:$AM$28,MATCH(LARGE($AN$17:$AN$28,4),$AN$17:$AN$28,0)))</f>
        <v/>
      </c>
      <c r="AN35" s="1"/>
      <c r="AO35" s="1"/>
    </row>
    <row r="36" customFormat="false" ht="15.75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27" t="n">
        <v>5</v>
      </c>
      <c r="AJ36" s="28" t="str">
        <f aca="false">IF(LARGE($AN$17:$AN$28,5)&lt;0,"",INDEX($B$17:$B$28,MATCH(LARGE($AN$17:$AN$28,5),$AN$17:$AN$28,0)))</f>
        <v/>
      </c>
      <c r="AK36" s="28"/>
      <c r="AL36" s="28"/>
      <c r="AM36" s="29" t="str">
        <f aca="false">IF(AJ36="","",INDEX($AM$17:$AM$28,MATCH(LARGE($AN$17:$AN$28,5),$AN$17:$AN$28,0)))</f>
        <v/>
      </c>
      <c r="AN36" s="1"/>
      <c r="AO36" s="1"/>
    </row>
    <row r="37" customFormat="false" ht="15.75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27" t="n">
        <v>6</v>
      </c>
      <c r="AJ37" s="28" t="str">
        <f aca="false">IF(LARGE($AN$17:$AN$28,6)&lt;0,"",INDEX($B$17:$B$28,MATCH(LARGE($AN$17:$AN$28,6),$AN$17:$AN$28,0)))</f>
        <v/>
      </c>
      <c r="AK37" s="28"/>
      <c r="AL37" s="28"/>
      <c r="AM37" s="29" t="str">
        <f aca="false">IF(AJ37="","",INDEX($AM$17:$AM$28,MATCH(LARGE($AN$17:$AN$28,6),$AN$17:$AN$28,0)))</f>
        <v/>
      </c>
      <c r="AN37" s="1"/>
      <c r="AO37" s="1"/>
    </row>
    <row r="38" customFormat="false" ht="15.75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27" t="n">
        <v>7</v>
      </c>
      <c r="AJ38" s="28" t="str">
        <f aca="false">IF(LARGE($AN$17:$AN$28,7)&lt;0,"",INDEX($B$17:$B$28,MATCH(LARGE($AN$17:$AN$28,7),$AN$17:$AN$28,0)))</f>
        <v/>
      </c>
      <c r="AK38" s="28"/>
      <c r="AL38" s="28"/>
      <c r="AM38" s="29" t="str">
        <f aca="false">IF(AJ38="","",INDEX($AM$17:$AM$28,MATCH(LARGE($AN$17:$AN$28,7),$AN$17:$AN$28,0)))</f>
        <v/>
      </c>
      <c r="AN38" s="1"/>
      <c r="AO38" s="1"/>
    </row>
    <row r="39" customFormat="false" ht="15.75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27" t="n">
        <v>8</v>
      </c>
      <c r="AJ39" s="28" t="str">
        <f aca="false">IF(LARGE($AN$17:$AN$28,8)&lt;0,"",INDEX($B$17:$B$28,MATCH(LARGE($AN$17:$AN$28,8),$AN$17:$AN$28,0)))</f>
        <v/>
      </c>
      <c r="AK39" s="28"/>
      <c r="AL39" s="28"/>
      <c r="AM39" s="29" t="str">
        <f aca="false">IF(AJ39="","",INDEX($AM$17:$AM$28,MATCH(LARGE($AN$17:$AN$28,8),$AN$17:$AN$28,0)))</f>
        <v/>
      </c>
      <c r="AN39" s="1"/>
      <c r="AO39" s="1"/>
    </row>
    <row r="40" customFormat="false" ht="15.75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27" t="n">
        <v>9</v>
      </c>
      <c r="AJ40" s="28" t="str">
        <f aca="false">IF(LARGE($AN$17:$AN$28,9)&lt;0,"",INDEX($B$17:$B$28,MATCH(LARGE($AN$17:$AN$28,9),$AN$17:$AN$28,0)))</f>
        <v/>
      </c>
      <c r="AK40" s="28"/>
      <c r="AL40" s="28"/>
      <c r="AM40" s="29" t="str">
        <f aca="false">IF(AJ40="","",INDEX($AM$17:$AM$28,MATCH(LARGE($AN$17:$AN$28,9),$AN$17:$AN$28,0)))</f>
        <v/>
      </c>
      <c r="AN40" s="1"/>
      <c r="AO40" s="1"/>
    </row>
    <row r="41" customFormat="false" ht="15.75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27" t="n">
        <v>10</v>
      </c>
      <c r="AJ41" s="28" t="str">
        <f aca="false">IF(LARGE($AN$17:$AN$28,10)&lt;0,"",INDEX($B$17:$B$28,MATCH(LARGE($AN$17:$AN$28,10),$AN$17:$AN$28,0)))</f>
        <v/>
      </c>
      <c r="AK41" s="28"/>
      <c r="AL41" s="28"/>
      <c r="AM41" s="29" t="str">
        <f aca="false">IF(AJ41="","",INDEX($AM$17:$AM$28,MATCH(LARGE($AN$17:$AN$28,10),$AN$17:$AN$28,0)))</f>
        <v/>
      </c>
      <c r="AN41" s="1"/>
      <c r="AO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</row>
    <row r="48" customFormat="false" ht="15" hidden="true" customHeight="false" outlineLevel="0" collapsed="false">
      <c r="A48" s="1"/>
      <c r="B48" s="1"/>
      <c r="C48" s="1" t="str">
        <f aca="false">IF(C$16="","",C$15)</f>
        <v>Su</v>
      </c>
      <c r="D48" s="1" t="str">
        <f aca="false">IF(D$16="","",D$15)</f>
        <v>Mo</v>
      </c>
      <c r="E48" s="1" t="str">
        <f aca="false">IF(E$16="","",E$15)</f>
        <v>Tu</v>
      </c>
      <c r="F48" s="1" t="str">
        <f aca="false">IF(F$16="","",F$15)</f>
        <v>We</v>
      </c>
      <c r="G48" s="1" t="str">
        <f aca="false">IF(G$16="","",G$15)</f>
        <v>Th</v>
      </c>
      <c r="H48" s="1" t="str">
        <f aca="false">IF(H$16="","",H$15)</f>
        <v>Fr</v>
      </c>
      <c r="I48" s="1" t="str">
        <f aca="false">IF(I$16="","",I$15)</f>
        <v>Sa</v>
      </c>
      <c r="J48" s="1" t="str">
        <f aca="false">IF(J$16="","",J$15)</f>
        <v>Su</v>
      </c>
      <c r="K48" s="1" t="str">
        <f aca="false">IF(K$16="","",K$15)</f>
        <v>Mo</v>
      </c>
      <c r="L48" s="1" t="str">
        <f aca="false">IF(L$16="","",L$15)</f>
        <v>Tu</v>
      </c>
      <c r="M48" s="1" t="str">
        <f aca="false">IF(M$16="","",M$15)</f>
        <v>We</v>
      </c>
      <c r="N48" s="1" t="str">
        <f aca="false">IF(N$16="","",N$15)</f>
        <v>Th</v>
      </c>
      <c r="O48" s="1" t="str">
        <f aca="false">IF(O$16="","",O$15)</f>
        <v>Fr</v>
      </c>
      <c r="P48" s="1" t="str">
        <f aca="false">IF(P$16="","",P$15)</f>
        <v>Sa</v>
      </c>
      <c r="Q48" s="1" t="str">
        <f aca="false">IF(Q$16="","",Q$15)</f>
        <v>Su</v>
      </c>
      <c r="R48" s="1" t="str">
        <f aca="false">IF(R$16="","",R$15)</f>
        <v>Mo</v>
      </c>
      <c r="S48" s="1" t="str">
        <f aca="false">IF(S$16="","",S$15)</f>
        <v>Tu</v>
      </c>
      <c r="T48" s="1" t="str">
        <f aca="false">IF(T$16="","",T$15)</f>
        <v>We</v>
      </c>
      <c r="U48" s="1" t="str">
        <f aca="false">IF(U$16="","",U$15)</f>
        <v>Th</v>
      </c>
      <c r="V48" s="1" t="str">
        <f aca="false">IF(V$16="","",V$15)</f>
        <v>Fr</v>
      </c>
      <c r="W48" s="1" t="str">
        <f aca="false">IF(W$16="","",W$15)</f>
        <v>Sa</v>
      </c>
      <c r="X48" s="1" t="str">
        <f aca="false">IF(X$16="","",X$15)</f>
        <v>Su</v>
      </c>
      <c r="Y48" s="1" t="str">
        <f aca="false">IF(Y$16="","",Y$15)</f>
        <v>Mo</v>
      </c>
      <c r="Z48" s="1" t="str">
        <f aca="false">IF(Z$16="","",Z$15)</f>
        <v>Tu</v>
      </c>
      <c r="AA48" s="1" t="str">
        <f aca="false">IF(AA$16="","",AA$15)</f>
        <v>We</v>
      </c>
      <c r="AB48" s="1" t="str">
        <f aca="false">IF(AB$16="","",AB$15)</f>
        <v>Th</v>
      </c>
      <c r="AC48" s="1" t="str">
        <f aca="false">IF(AC$16="","",AC$15)</f>
        <v>Fr</v>
      </c>
      <c r="AD48" s="1" t="str">
        <f aca="false">IF(AD$16="","",AD$15)</f>
        <v>Sa</v>
      </c>
      <c r="AE48" s="1" t="str">
        <f aca="false">IF(AE$16="","",AE$15)</f>
        <v>Su</v>
      </c>
      <c r="AF48" s="1" t="str">
        <f aca="false">IF(AF$16="","",AF$15)</f>
        <v>Mo</v>
      </c>
      <c r="AG48" s="1" t="str">
        <f aca="false">IF(AG$16="","",AG$15)</f>
        <v/>
      </c>
      <c r="AH48" s="1"/>
      <c r="AI48" s="1"/>
      <c r="AJ48" s="1"/>
      <c r="AK48" s="1"/>
      <c r="AL48" s="1"/>
      <c r="AM48" s="1"/>
      <c r="AN48" s="1"/>
      <c r="AO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</row>
  </sheetData>
  <mergeCells count="31">
    <mergeCell ref="B2:B3"/>
    <mergeCell ref="C2:Z2"/>
    <mergeCell ref="AA2:AG2"/>
    <mergeCell ref="AI2:AJ2"/>
    <mergeCell ref="AK2:AM2"/>
    <mergeCell ref="AI3:AJ4"/>
    <mergeCell ref="AK3:AM4"/>
    <mergeCell ref="AI5:AJ5"/>
    <mergeCell ref="AI6:AJ7"/>
    <mergeCell ref="AI8:AJ8"/>
    <mergeCell ref="AI9:AJ10"/>
    <mergeCell ref="B10:B12"/>
    <mergeCell ref="B14:B16"/>
    <mergeCell ref="C14:I14"/>
    <mergeCell ref="J14:P14"/>
    <mergeCell ref="Q14:W14"/>
    <mergeCell ref="X14:AD14"/>
    <mergeCell ref="AE14:AG14"/>
    <mergeCell ref="AI14:AM15"/>
    <mergeCell ref="C31:AG31"/>
    <mergeCell ref="AI31:AM31"/>
    <mergeCell ref="AJ32:AL32"/>
    <mergeCell ref="AJ33:AL33"/>
    <mergeCell ref="AJ34:AL34"/>
    <mergeCell ref="AJ35:AL35"/>
    <mergeCell ref="AJ36:AL36"/>
    <mergeCell ref="AJ37:AL37"/>
    <mergeCell ref="AJ38:AL38"/>
    <mergeCell ref="AJ39:AL39"/>
    <mergeCell ref="AJ40:AL40"/>
    <mergeCell ref="AJ41:AL41"/>
  </mergeCells>
  <conditionalFormatting sqref="C17:AG28">
    <cfRule type="expression" priority="2" aboveAverage="0" equalAverage="0" bottom="0" percent="0" rank="0" text="" dxfId="0">
      <formula>C$16=""</formula>
    </cfRule>
    <cfRule type="expression" priority="3" aboveAverage="0" equalAverage="0" bottom="0" percent="0" rank="0" text="" dxfId="1">
      <formula>C17=1</formula>
    </cfRule>
    <cfRule type="expression" priority="4" aboveAverage="0" equalAverage="0" bottom="0" percent="0" rank="0" text="" dxfId="2">
      <formula>C17=0</formula>
    </cfRule>
  </conditionalFormatting>
  <conditionalFormatting sqref="C32:AG33">
    <cfRule type="expression" priority="5" aboveAverage="0" equalAverage="0" bottom="0" percent="0" rank="0" text="" dxfId="3">
      <formula>C$16=""</formula>
    </cfRule>
  </conditionalFormatting>
  <conditionalFormatting sqref="AL17:AL28">
    <cfRule type="dataBar" priority="6">
      <dataBar showValue="1" minLength="10" maxLength="90">
        <cfvo type="num" val="0"/>
        <cfvo type="num" val="1"/>
        <color rgb="FF1F2433"/>
      </dataBar>
      <extLst>
        <ext xmlns:x14="http://schemas.microsoft.com/office/spreadsheetml/2009/9/main" uri="{B025F937-C7B1-47D3-B67F-A62EFF666E3E}">
          <x14:id>{51D2DF51-B2AF-478F-8ED8-F79960FE1A80}</x14:id>
        </ext>
      </extLst>
    </cfRule>
  </conditionalFormatting>
  <dataValidations count="4">
    <dataValidation allowBlank="false" errorStyle="stop" operator="between" showDropDown="false" showErrorMessage="false" showInputMessage="false" sqref="B9" type="list">
      <formula1>"January,February,March,April,May,June,July,August,September,October,November,December"</formula1>
      <formula2>0</formula2>
    </dataValidation>
    <dataValidation allowBlank="true" errorStyle="stop" operator="between" showDropDown="false" showErrorMessage="false" showInputMessage="false" sqref="C17:AG28" type="list">
      <formula1>"TRUE,FALSE"</formula1>
      <formula2>0</formula2>
    </dataValidation>
    <dataValidation allowBlank="true" errorStyle="stop" operator="between" showDropDown="false" showErrorMessage="false" showInputMessage="false" sqref="C32:AG32" type="list">
      <formula1>"1,2,3,4,5,6,7,8,9,10"</formula1>
      <formula2>0</formula2>
    </dataValidation>
    <dataValidation allowBlank="true" errorStyle="stop" operator="between" showDropDown="false" showErrorMessage="false" showInputMessage="false" sqref="C33:AG33" type="list">
      <formula1>"0,1,2,3,4,5,6,7,8,9,10,11,12"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1D2DF51-B2AF-478F-8ED8-F79960FE1A80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1F2433"/>
              <x14:axisColor rgb="FF000000"/>
            </x14:dataBar>
          </x14:cfRule>
          <xm:sqref>AL17:AL28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433"/>
    <pageSetUpPr fitToPage="false"/>
  </sheetPr>
  <dimension ref="A1:AQ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0" topLeftCell="C1" activePane="topRight" state="frozen"/>
      <selection pane="topLeft" activeCell="A1" activeCellId="0" sqref="A1"/>
      <selection pane="top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3" min="3" style="0" width="3.9"/>
    <col collapsed="false" customWidth="true" hidden="false" outlineLevel="0" max="34" min="34" style="0" width="2"/>
    <col collapsed="false" customWidth="true" hidden="false" outlineLevel="0" max="36" min="35" style="0" width="8"/>
    <col collapsed="false" customWidth="true" hidden="false" outlineLevel="0" max="37" min="37" style="0" width="7"/>
    <col collapsed="false" customWidth="true" hidden="false" outlineLevel="0" max="38" min="38" style="0" width="14"/>
    <col collapsed="false" customWidth="true" hidden="false" outlineLevel="0" max="39" min="39" style="0" width="8"/>
    <col collapsed="false" customWidth="true" hidden="true" outlineLevel="0" max="43" min="40" style="0" width="13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Q1" s="2" t="s">
        <v>0</v>
      </c>
    </row>
    <row r="2" customFormat="false" ht="21.75" hidden="false" customHeight="true" outlineLevel="0" collapsed="false">
      <c r="A2" s="1"/>
      <c r="B2" s="3" t="s">
        <v>1</v>
      </c>
      <c r="C2" s="4" t="s">
        <v>2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 t="s">
        <v>3</v>
      </c>
      <c r="AB2" s="4"/>
      <c r="AC2" s="4"/>
      <c r="AD2" s="4"/>
      <c r="AE2" s="4"/>
      <c r="AF2" s="4"/>
      <c r="AG2" s="4"/>
      <c r="AH2" s="1"/>
      <c r="AI2" s="4" t="s">
        <v>4</v>
      </c>
      <c r="AJ2" s="4"/>
      <c r="AK2" s="4" t="s">
        <v>5</v>
      </c>
      <c r="AL2" s="4"/>
      <c r="AM2" s="4"/>
      <c r="AN2" s="1"/>
      <c r="AO2" s="1" t="s">
        <v>6</v>
      </c>
      <c r="AP2" s="2" t="n">
        <f aca="false">MATCH($B$9,$AQ$1:$AQ$12,0)</f>
        <v>12</v>
      </c>
      <c r="AQ2" s="2" t="s">
        <v>7</v>
      </c>
    </row>
    <row r="3" customFormat="false" ht="15.75" hidden="false" customHeight="true" outlineLevel="0" collapsed="false">
      <c r="A3" s="1"/>
      <c r="B3" s="3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5" t="n">
        <f aca="false">SUMPRODUCT(--(LEN($B$17:$B$28)&gt;0))*$AP$3</f>
        <v>310</v>
      </c>
      <c r="AJ3" s="5"/>
      <c r="AK3" s="6" t="n">
        <f aca="false">IF(AI3=0,0,AI6/AI3)</f>
        <v>0</v>
      </c>
      <c r="AL3" s="6"/>
      <c r="AM3" s="6"/>
      <c r="AN3" s="1"/>
      <c r="AO3" s="1" t="s">
        <v>8</v>
      </c>
      <c r="AP3" s="2" t="n">
        <f aca="false">DAY(DATE($B$7,$AP$2+1,0))</f>
        <v>31</v>
      </c>
      <c r="AQ3" s="2" t="s">
        <v>9</v>
      </c>
    </row>
    <row r="4" customFormat="false" ht="15.7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5"/>
      <c r="AJ4" s="5"/>
      <c r="AK4" s="6"/>
      <c r="AL4" s="6"/>
      <c r="AM4" s="6"/>
      <c r="AN4" s="1"/>
      <c r="AO4" s="1"/>
      <c r="AQ4" s="2" t="s">
        <v>10</v>
      </c>
    </row>
    <row r="5" customFormat="false" ht="15.75" hidden="false" customHeight="true" outlineLevel="0" collapsed="false">
      <c r="A5" s="1"/>
      <c r="B5" s="7" t="s">
        <v>11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4" t="s">
        <v>12</v>
      </c>
      <c r="AJ5" s="4"/>
      <c r="AK5" s="1"/>
      <c r="AL5" s="1"/>
      <c r="AM5" s="1"/>
      <c r="AN5" s="1"/>
      <c r="AO5" s="1" t="s">
        <v>12</v>
      </c>
      <c r="AP5" s="2" t="n">
        <f aca="false">AI6</f>
        <v>0</v>
      </c>
      <c r="AQ5" s="2" t="s">
        <v>13</v>
      </c>
    </row>
    <row r="6" customFormat="false" ht="15.75" hidden="false" customHeight="true" outlineLevel="0" collapsed="false">
      <c r="A6" s="1"/>
      <c r="B6" s="8" t="s">
        <v>14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5" t="n">
        <f aca="false">SUMPRODUCT(($B$17:$B$28&lt;&gt;"")*($C$17:$AG$28=TRUE()))</f>
        <v>0</v>
      </c>
      <c r="AJ6" s="5"/>
      <c r="AK6" s="1"/>
      <c r="AL6" s="1"/>
      <c r="AM6" s="1"/>
      <c r="AN6" s="1"/>
      <c r="AO6" s="1" t="s">
        <v>15</v>
      </c>
      <c r="AP6" s="2" t="n">
        <f aca="false">AI9</f>
        <v>310</v>
      </c>
      <c r="AQ6" s="2" t="s">
        <v>16</v>
      </c>
    </row>
    <row r="7" customFormat="false" ht="15.75" hidden="false" customHeight="true" outlineLevel="0" collapsed="false">
      <c r="A7" s="1"/>
      <c r="B7" s="30" t="n">
        <f aca="false">January!$B$7</f>
        <v>2026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5"/>
      <c r="AJ7" s="5"/>
      <c r="AK7" s="1"/>
      <c r="AL7" s="1"/>
      <c r="AM7" s="1"/>
      <c r="AN7" s="1"/>
      <c r="AO7" s="1"/>
      <c r="AQ7" s="2" t="s">
        <v>17</v>
      </c>
    </row>
    <row r="8" customFormat="false" ht="15.75" hidden="false" customHeight="true" outlineLevel="0" collapsed="false">
      <c r="A8" s="1"/>
      <c r="B8" s="8" t="s">
        <v>18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4" t="s">
        <v>15</v>
      </c>
      <c r="AJ8" s="4"/>
      <c r="AK8" s="1"/>
      <c r="AL8" s="1"/>
      <c r="AM8" s="1"/>
      <c r="AN8" s="1"/>
      <c r="AO8" s="1" t="s">
        <v>19</v>
      </c>
      <c r="AP8" s="2" t="n">
        <f aca="false">IF(OR(COUNTIF(C$16:I$16,"&gt;0")=0,SUMPRODUCT(--(LEN($B$17:$B$28)&gt;0))=0),0,SUMPRODUCT(($B$17:$B$28&lt;&gt;"")*(C$17:I$28=TRUE()))/(SUMPRODUCT(--(LEN($B$17:$B$28)&gt;0))*COUNTIF(C$16:I$16,"&gt;0")))</f>
        <v>0</v>
      </c>
      <c r="AQ8" s="2" t="s">
        <v>20</v>
      </c>
    </row>
    <row r="9" customFormat="false" ht="15.75" hidden="false" customHeight="true" outlineLevel="0" collapsed="false">
      <c r="A9" s="1"/>
      <c r="B9" s="9" t="s">
        <v>29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5" t="n">
        <f aca="false">AI3-AI6</f>
        <v>310</v>
      </c>
      <c r="AJ9" s="5"/>
      <c r="AK9" s="1"/>
      <c r="AL9" s="1"/>
      <c r="AM9" s="1"/>
      <c r="AN9" s="1"/>
      <c r="AO9" s="1" t="s">
        <v>21</v>
      </c>
      <c r="AP9" s="2" t="n">
        <f aca="false">IF(OR(COUNTIF(J$16:P$16,"&gt;0")=0,SUMPRODUCT(--(LEN($B$17:$B$28)&gt;0))=0),0,SUMPRODUCT(($B$17:$B$28&lt;&gt;"")*(J$17:P$28=TRUE()))/(SUMPRODUCT(--(LEN($B$17:$B$28)&gt;0))*COUNTIF(J$16:P$16,"&gt;0")))</f>
        <v>0</v>
      </c>
      <c r="AQ9" s="2" t="s">
        <v>22</v>
      </c>
    </row>
    <row r="10" customFormat="false" ht="15.75" hidden="false" customHeight="true" outlineLevel="0" collapsed="false">
      <c r="A10" s="1"/>
      <c r="B10" s="10" t="s">
        <v>23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5"/>
      <c r="AJ10" s="5"/>
      <c r="AK10" s="1"/>
      <c r="AL10" s="1"/>
      <c r="AM10" s="1"/>
      <c r="AN10" s="1"/>
      <c r="AO10" s="1" t="s">
        <v>24</v>
      </c>
      <c r="AP10" s="2" t="n">
        <f aca="false">IF(OR(COUNTIF(Q$16:W$16,"&gt;0")=0,SUMPRODUCT(--(LEN($B$17:$B$28)&gt;0))=0),0,SUMPRODUCT(($B$17:$B$28&lt;&gt;"")*(Q$17:W$28=TRUE()))/(SUMPRODUCT(--(LEN($B$17:$B$28)&gt;0))*COUNTIF(Q$16:W$16,"&gt;0")))</f>
        <v>0</v>
      </c>
      <c r="AQ10" s="2" t="s">
        <v>25</v>
      </c>
    </row>
    <row r="11" customFormat="false" ht="15.75" hidden="false" customHeight="true" outlineLevel="0" collapsed="false">
      <c r="A11" s="1"/>
      <c r="B11" s="10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 t="s">
        <v>26</v>
      </c>
      <c r="AP11" s="2" t="n">
        <f aca="false">IF(OR(COUNTIF(X$16:AD$16,"&gt;0")=0,SUMPRODUCT(--(LEN($B$17:$B$28)&gt;0))=0),0,SUMPRODUCT(($B$17:$B$28&lt;&gt;"")*(X$17:AD$28=TRUE()))/(SUMPRODUCT(--(LEN($B$17:$B$28)&gt;0))*COUNTIF(X$16:AD$16,"&gt;0")))</f>
        <v>0</v>
      </c>
      <c r="AQ11" s="2" t="s">
        <v>27</v>
      </c>
    </row>
    <row r="12" customFormat="false" ht="15.75" hidden="false" customHeight="true" outlineLevel="0" collapsed="false">
      <c r="A12" s="1"/>
      <c r="B12" s="10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 t="s">
        <v>28</v>
      </c>
      <c r="AP12" s="2" t="n">
        <f aca="false">IF(OR(COUNTIF(AE$16:AG$16,"&gt;0")=0,SUMPRODUCT(--(LEN($B$17:$B$28)&gt;0))=0),0,SUMPRODUCT(($B$17:$B$28&lt;&gt;"")*(AE$17:AG$28=TRUE()))/(SUMPRODUCT(--(LEN($B$17:$B$28)&gt;0))*COUNTIF(AE$16:AG$16,"&gt;0")))</f>
        <v>0</v>
      </c>
      <c r="AQ12" s="2" t="s">
        <v>29</v>
      </c>
    </row>
    <row r="13" customFormat="false" ht="15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</row>
    <row r="14" customFormat="false" ht="15" hidden="false" customHeight="false" outlineLevel="0" collapsed="false">
      <c r="A14" s="1"/>
      <c r="B14" s="11" t="s">
        <v>30</v>
      </c>
      <c r="C14" s="12" t="s">
        <v>19</v>
      </c>
      <c r="D14" s="12"/>
      <c r="E14" s="12"/>
      <c r="F14" s="12"/>
      <c r="G14" s="12"/>
      <c r="H14" s="12"/>
      <c r="I14" s="12"/>
      <c r="J14" s="12" t="s">
        <v>21</v>
      </c>
      <c r="K14" s="12"/>
      <c r="L14" s="12"/>
      <c r="M14" s="12"/>
      <c r="N14" s="12"/>
      <c r="O14" s="12"/>
      <c r="P14" s="12"/>
      <c r="Q14" s="12" t="s">
        <v>24</v>
      </c>
      <c r="R14" s="12"/>
      <c r="S14" s="12"/>
      <c r="T14" s="12"/>
      <c r="U14" s="12"/>
      <c r="V14" s="12"/>
      <c r="W14" s="12"/>
      <c r="X14" s="12" t="s">
        <v>26</v>
      </c>
      <c r="Y14" s="12"/>
      <c r="Z14" s="12"/>
      <c r="AA14" s="12"/>
      <c r="AB14" s="12"/>
      <c r="AC14" s="12"/>
      <c r="AD14" s="12"/>
      <c r="AE14" s="12" t="s">
        <v>28</v>
      </c>
      <c r="AF14" s="12"/>
      <c r="AG14" s="12"/>
      <c r="AH14" s="1"/>
      <c r="AI14" s="13" t="s">
        <v>31</v>
      </c>
      <c r="AJ14" s="13"/>
      <c r="AK14" s="13"/>
      <c r="AL14" s="13"/>
      <c r="AM14" s="13"/>
      <c r="AN14" s="1"/>
      <c r="AO14" s="1"/>
    </row>
    <row r="15" customFormat="false" ht="15" hidden="false" customHeight="false" outlineLevel="0" collapsed="false">
      <c r="A15" s="1"/>
      <c r="B15" s="11"/>
      <c r="C15" s="14" t="str">
        <f aca="false">IF(1&gt;$AP$3,"",CHOOSE(WEEKDAY(DATE($B$7,$AP$2,1)),"Su","Mo","Tu","We","Th","Fr","Sa"))</f>
        <v>Tu</v>
      </c>
      <c r="D15" s="14" t="str">
        <f aca="false">IF(2&gt;$AP$3,"",CHOOSE(WEEKDAY(DATE($B$7,$AP$2,2)),"Su","Mo","Tu","We","Th","Fr","Sa"))</f>
        <v>We</v>
      </c>
      <c r="E15" s="14" t="str">
        <f aca="false">IF(3&gt;$AP$3,"",CHOOSE(WEEKDAY(DATE($B$7,$AP$2,3)),"Su","Mo","Tu","We","Th","Fr","Sa"))</f>
        <v>Th</v>
      </c>
      <c r="F15" s="14" t="str">
        <f aca="false">IF(4&gt;$AP$3,"",CHOOSE(WEEKDAY(DATE($B$7,$AP$2,4)),"Su","Mo","Tu","We","Th","Fr","Sa"))</f>
        <v>Fr</v>
      </c>
      <c r="G15" s="14" t="str">
        <f aca="false">IF(5&gt;$AP$3,"",CHOOSE(WEEKDAY(DATE($B$7,$AP$2,5)),"Su","Mo","Tu","We","Th","Fr","Sa"))</f>
        <v>Sa</v>
      </c>
      <c r="H15" s="14" t="str">
        <f aca="false">IF(6&gt;$AP$3,"",CHOOSE(WEEKDAY(DATE($B$7,$AP$2,6)),"Su","Mo","Tu","We","Th","Fr","Sa"))</f>
        <v>Su</v>
      </c>
      <c r="I15" s="14" t="str">
        <f aca="false">IF(7&gt;$AP$3,"",CHOOSE(WEEKDAY(DATE($B$7,$AP$2,7)),"Su","Mo","Tu","We","Th","Fr","Sa"))</f>
        <v>Mo</v>
      </c>
      <c r="J15" s="14" t="str">
        <f aca="false">IF(8&gt;$AP$3,"",CHOOSE(WEEKDAY(DATE($B$7,$AP$2,8)),"Su","Mo","Tu","We","Th","Fr","Sa"))</f>
        <v>Tu</v>
      </c>
      <c r="K15" s="14" t="str">
        <f aca="false">IF(9&gt;$AP$3,"",CHOOSE(WEEKDAY(DATE($B$7,$AP$2,9)),"Su","Mo","Tu","We","Th","Fr","Sa"))</f>
        <v>We</v>
      </c>
      <c r="L15" s="14" t="str">
        <f aca="false">IF(10&gt;$AP$3,"",CHOOSE(WEEKDAY(DATE($B$7,$AP$2,10)),"Su","Mo","Tu","We","Th","Fr","Sa"))</f>
        <v>Th</v>
      </c>
      <c r="M15" s="14" t="str">
        <f aca="false">IF(11&gt;$AP$3,"",CHOOSE(WEEKDAY(DATE($B$7,$AP$2,11)),"Su","Mo","Tu","We","Th","Fr","Sa"))</f>
        <v>Fr</v>
      </c>
      <c r="N15" s="14" t="str">
        <f aca="false">IF(12&gt;$AP$3,"",CHOOSE(WEEKDAY(DATE($B$7,$AP$2,12)),"Su","Mo","Tu","We","Th","Fr","Sa"))</f>
        <v>Sa</v>
      </c>
      <c r="O15" s="14" t="str">
        <f aca="false">IF(13&gt;$AP$3,"",CHOOSE(WEEKDAY(DATE($B$7,$AP$2,13)),"Su","Mo","Tu","We","Th","Fr","Sa"))</f>
        <v>Su</v>
      </c>
      <c r="P15" s="14" t="str">
        <f aca="false">IF(14&gt;$AP$3,"",CHOOSE(WEEKDAY(DATE($B$7,$AP$2,14)),"Su","Mo","Tu","We","Th","Fr","Sa"))</f>
        <v>Mo</v>
      </c>
      <c r="Q15" s="14" t="str">
        <f aca="false">IF(15&gt;$AP$3,"",CHOOSE(WEEKDAY(DATE($B$7,$AP$2,15)),"Su","Mo","Tu","We","Th","Fr","Sa"))</f>
        <v>Tu</v>
      </c>
      <c r="R15" s="14" t="str">
        <f aca="false">IF(16&gt;$AP$3,"",CHOOSE(WEEKDAY(DATE($B$7,$AP$2,16)),"Su","Mo","Tu","We","Th","Fr","Sa"))</f>
        <v>We</v>
      </c>
      <c r="S15" s="14" t="str">
        <f aca="false">IF(17&gt;$AP$3,"",CHOOSE(WEEKDAY(DATE($B$7,$AP$2,17)),"Su","Mo","Tu","We","Th","Fr","Sa"))</f>
        <v>Th</v>
      </c>
      <c r="T15" s="14" t="str">
        <f aca="false">IF(18&gt;$AP$3,"",CHOOSE(WEEKDAY(DATE($B$7,$AP$2,18)),"Su","Mo","Tu","We","Th","Fr","Sa"))</f>
        <v>Fr</v>
      </c>
      <c r="U15" s="14" t="str">
        <f aca="false">IF(19&gt;$AP$3,"",CHOOSE(WEEKDAY(DATE($B$7,$AP$2,19)),"Su","Mo","Tu","We","Th","Fr","Sa"))</f>
        <v>Sa</v>
      </c>
      <c r="V15" s="14" t="str">
        <f aca="false">IF(20&gt;$AP$3,"",CHOOSE(WEEKDAY(DATE($B$7,$AP$2,20)),"Su","Mo","Tu","We","Th","Fr","Sa"))</f>
        <v>Su</v>
      </c>
      <c r="W15" s="14" t="str">
        <f aca="false">IF(21&gt;$AP$3,"",CHOOSE(WEEKDAY(DATE($B$7,$AP$2,21)),"Su","Mo","Tu","We","Th","Fr","Sa"))</f>
        <v>Mo</v>
      </c>
      <c r="X15" s="14" t="str">
        <f aca="false">IF(22&gt;$AP$3,"",CHOOSE(WEEKDAY(DATE($B$7,$AP$2,22)),"Su","Mo","Tu","We","Th","Fr","Sa"))</f>
        <v>Tu</v>
      </c>
      <c r="Y15" s="14" t="str">
        <f aca="false">IF(23&gt;$AP$3,"",CHOOSE(WEEKDAY(DATE($B$7,$AP$2,23)),"Su","Mo","Tu","We","Th","Fr","Sa"))</f>
        <v>We</v>
      </c>
      <c r="Z15" s="14" t="str">
        <f aca="false">IF(24&gt;$AP$3,"",CHOOSE(WEEKDAY(DATE($B$7,$AP$2,24)),"Su","Mo","Tu","We","Th","Fr","Sa"))</f>
        <v>Th</v>
      </c>
      <c r="AA15" s="14" t="str">
        <f aca="false">IF(25&gt;$AP$3,"",CHOOSE(WEEKDAY(DATE($B$7,$AP$2,25)),"Su","Mo","Tu","We","Th","Fr","Sa"))</f>
        <v>Fr</v>
      </c>
      <c r="AB15" s="14" t="str">
        <f aca="false">IF(26&gt;$AP$3,"",CHOOSE(WEEKDAY(DATE($B$7,$AP$2,26)),"Su","Mo","Tu","We","Th","Fr","Sa"))</f>
        <v>Sa</v>
      </c>
      <c r="AC15" s="14" t="str">
        <f aca="false">IF(27&gt;$AP$3,"",CHOOSE(WEEKDAY(DATE($B$7,$AP$2,27)),"Su","Mo","Tu","We","Th","Fr","Sa"))</f>
        <v>Su</v>
      </c>
      <c r="AD15" s="14" t="str">
        <f aca="false">IF(28&gt;$AP$3,"",CHOOSE(WEEKDAY(DATE($B$7,$AP$2,28)),"Su","Mo","Tu","We","Th","Fr","Sa"))</f>
        <v>Mo</v>
      </c>
      <c r="AE15" s="14" t="str">
        <f aca="false">IF(29&gt;$AP$3,"",CHOOSE(WEEKDAY(DATE($B$7,$AP$2,29)),"Su","Mo","Tu","We","Th","Fr","Sa"))</f>
        <v>Tu</v>
      </c>
      <c r="AF15" s="14" t="str">
        <f aca="false">IF(30&gt;$AP$3,"",CHOOSE(WEEKDAY(DATE($B$7,$AP$2,30)),"Su","Mo","Tu","We","Th","Fr","Sa"))</f>
        <v>We</v>
      </c>
      <c r="AG15" s="14" t="str">
        <f aca="false">IF(31&gt;$AP$3,"",CHOOSE(WEEKDAY(DATE($B$7,$AP$2,31)),"Su","Mo","Tu","We","Th","Fr","Sa"))</f>
        <v>Th</v>
      </c>
      <c r="AH15" s="1"/>
      <c r="AI15" s="13"/>
      <c r="AJ15" s="13"/>
      <c r="AK15" s="13"/>
      <c r="AL15" s="13"/>
      <c r="AM15" s="13"/>
      <c r="AN15" s="1"/>
      <c r="AO15" s="1"/>
    </row>
    <row r="16" customFormat="false" ht="15" hidden="false" customHeight="false" outlineLevel="0" collapsed="false">
      <c r="A16" s="1"/>
      <c r="B16" s="11"/>
      <c r="C16" s="14" t="n">
        <f aca="false">IF(1&gt;$AP$3,"",1)</f>
        <v>1</v>
      </c>
      <c r="D16" s="14" t="n">
        <f aca="false">IF(2&gt;$AP$3,"",2)</f>
        <v>2</v>
      </c>
      <c r="E16" s="14" t="n">
        <f aca="false">IF(3&gt;$AP$3,"",3)</f>
        <v>3</v>
      </c>
      <c r="F16" s="14" t="n">
        <f aca="false">IF(4&gt;$AP$3,"",4)</f>
        <v>4</v>
      </c>
      <c r="G16" s="14" t="n">
        <f aca="false">IF(5&gt;$AP$3,"",5)</f>
        <v>5</v>
      </c>
      <c r="H16" s="14" t="n">
        <f aca="false">IF(6&gt;$AP$3,"",6)</f>
        <v>6</v>
      </c>
      <c r="I16" s="14" t="n">
        <f aca="false">IF(7&gt;$AP$3,"",7)</f>
        <v>7</v>
      </c>
      <c r="J16" s="14" t="n">
        <f aca="false">IF(8&gt;$AP$3,"",8)</f>
        <v>8</v>
      </c>
      <c r="K16" s="14" t="n">
        <f aca="false">IF(9&gt;$AP$3,"",9)</f>
        <v>9</v>
      </c>
      <c r="L16" s="14" t="n">
        <f aca="false">IF(10&gt;$AP$3,"",10)</f>
        <v>10</v>
      </c>
      <c r="M16" s="14" t="n">
        <f aca="false">IF(11&gt;$AP$3,"",11)</f>
        <v>11</v>
      </c>
      <c r="N16" s="14" t="n">
        <f aca="false">IF(12&gt;$AP$3,"",12)</f>
        <v>12</v>
      </c>
      <c r="O16" s="14" t="n">
        <f aca="false">IF(13&gt;$AP$3,"",13)</f>
        <v>13</v>
      </c>
      <c r="P16" s="14" t="n">
        <f aca="false">IF(14&gt;$AP$3,"",14)</f>
        <v>14</v>
      </c>
      <c r="Q16" s="14" t="n">
        <f aca="false">IF(15&gt;$AP$3,"",15)</f>
        <v>15</v>
      </c>
      <c r="R16" s="14" t="n">
        <f aca="false">IF(16&gt;$AP$3,"",16)</f>
        <v>16</v>
      </c>
      <c r="S16" s="14" t="n">
        <f aca="false">IF(17&gt;$AP$3,"",17)</f>
        <v>17</v>
      </c>
      <c r="T16" s="14" t="n">
        <f aca="false">IF(18&gt;$AP$3,"",18)</f>
        <v>18</v>
      </c>
      <c r="U16" s="14" t="n">
        <f aca="false">IF(19&gt;$AP$3,"",19)</f>
        <v>19</v>
      </c>
      <c r="V16" s="14" t="n">
        <f aca="false">IF(20&gt;$AP$3,"",20)</f>
        <v>20</v>
      </c>
      <c r="W16" s="14" t="n">
        <f aca="false">IF(21&gt;$AP$3,"",21)</f>
        <v>21</v>
      </c>
      <c r="X16" s="14" t="n">
        <f aca="false">IF(22&gt;$AP$3,"",22)</f>
        <v>22</v>
      </c>
      <c r="Y16" s="14" t="n">
        <f aca="false">IF(23&gt;$AP$3,"",23)</f>
        <v>23</v>
      </c>
      <c r="Z16" s="14" t="n">
        <f aca="false">IF(24&gt;$AP$3,"",24)</f>
        <v>24</v>
      </c>
      <c r="AA16" s="14" t="n">
        <f aca="false">IF(25&gt;$AP$3,"",25)</f>
        <v>25</v>
      </c>
      <c r="AB16" s="14" t="n">
        <f aca="false">IF(26&gt;$AP$3,"",26)</f>
        <v>26</v>
      </c>
      <c r="AC16" s="14" t="n">
        <f aca="false">IF(27&gt;$AP$3,"",27)</f>
        <v>27</v>
      </c>
      <c r="AD16" s="14" t="n">
        <f aca="false">IF(28&gt;$AP$3,"",28)</f>
        <v>28</v>
      </c>
      <c r="AE16" s="14" t="n">
        <f aca="false">IF(29&gt;$AP$3,"",29)</f>
        <v>29</v>
      </c>
      <c r="AF16" s="14" t="n">
        <f aca="false">IF(30&gt;$AP$3,"",30)</f>
        <v>30</v>
      </c>
      <c r="AG16" s="14" t="n">
        <f aca="false">IF(31&gt;$AP$3,"",31)</f>
        <v>31</v>
      </c>
      <c r="AH16" s="1"/>
      <c r="AI16" s="15" t="s">
        <v>4</v>
      </c>
      <c r="AJ16" s="15" t="s">
        <v>32</v>
      </c>
      <c r="AK16" s="15" t="s">
        <v>15</v>
      </c>
      <c r="AL16" s="15" t="s">
        <v>33</v>
      </c>
      <c r="AM16" s="15" t="s">
        <v>34</v>
      </c>
      <c r="AN16" s="1"/>
      <c r="AO16" s="1"/>
    </row>
    <row r="17" customFormat="false" ht="18" hidden="false" customHeight="true" outlineLevel="0" collapsed="false">
      <c r="A17" s="1"/>
      <c r="B17" s="16" t="s">
        <v>35</v>
      </c>
      <c r="C17" s="17" t="b">
        <f aca="false">FALSE()</f>
        <v>0</v>
      </c>
      <c r="D17" s="17" t="b">
        <f aca="false">FALSE()</f>
        <v>0</v>
      </c>
      <c r="E17" s="17" t="b">
        <f aca="false">FALSE()</f>
        <v>0</v>
      </c>
      <c r="F17" s="17" t="b">
        <f aca="false">FALSE()</f>
        <v>0</v>
      </c>
      <c r="G17" s="17" t="b">
        <f aca="false">FALSE()</f>
        <v>0</v>
      </c>
      <c r="H17" s="17" t="b">
        <f aca="false">FALSE()</f>
        <v>0</v>
      </c>
      <c r="I17" s="17" t="b">
        <f aca="false">FALSE()</f>
        <v>0</v>
      </c>
      <c r="J17" s="17" t="b">
        <f aca="false">FALSE()</f>
        <v>0</v>
      </c>
      <c r="K17" s="17" t="b">
        <f aca="false">FALSE()</f>
        <v>0</v>
      </c>
      <c r="L17" s="17" t="b">
        <f aca="false">FALSE()</f>
        <v>0</v>
      </c>
      <c r="M17" s="17" t="b">
        <f aca="false">FALSE()</f>
        <v>0</v>
      </c>
      <c r="N17" s="17" t="b">
        <f aca="false">FALSE()</f>
        <v>0</v>
      </c>
      <c r="O17" s="17" t="b">
        <f aca="false">FALSE()</f>
        <v>0</v>
      </c>
      <c r="P17" s="17" t="b">
        <f aca="false">FALSE()</f>
        <v>0</v>
      </c>
      <c r="Q17" s="17" t="b">
        <f aca="false">FALSE()</f>
        <v>0</v>
      </c>
      <c r="R17" s="17" t="b">
        <f aca="false">FALSE()</f>
        <v>0</v>
      </c>
      <c r="S17" s="17" t="b">
        <f aca="false">FALSE()</f>
        <v>0</v>
      </c>
      <c r="T17" s="17" t="b">
        <f aca="false">FALSE()</f>
        <v>0</v>
      </c>
      <c r="U17" s="17" t="b">
        <f aca="false">FALSE()</f>
        <v>0</v>
      </c>
      <c r="V17" s="17" t="b">
        <f aca="false">FALSE()</f>
        <v>0</v>
      </c>
      <c r="W17" s="17" t="b">
        <f aca="false">FALSE()</f>
        <v>0</v>
      </c>
      <c r="X17" s="17" t="b">
        <f aca="false">FALSE()</f>
        <v>0</v>
      </c>
      <c r="Y17" s="17" t="b">
        <f aca="false">FALSE()</f>
        <v>0</v>
      </c>
      <c r="Z17" s="17" t="b">
        <f aca="false">FALSE()</f>
        <v>0</v>
      </c>
      <c r="AA17" s="17" t="b">
        <f aca="false">FALSE()</f>
        <v>0</v>
      </c>
      <c r="AB17" s="17" t="b">
        <f aca="false">FALSE()</f>
        <v>0</v>
      </c>
      <c r="AC17" s="17" t="b">
        <f aca="false">FALSE()</f>
        <v>0</v>
      </c>
      <c r="AD17" s="17" t="b">
        <f aca="false">FALSE()</f>
        <v>0</v>
      </c>
      <c r="AE17" s="17" t="b">
        <f aca="false">FALSE()</f>
        <v>0</v>
      </c>
      <c r="AF17" s="17" t="b">
        <f aca="false">FALSE()</f>
        <v>0</v>
      </c>
      <c r="AG17" s="17" t="b">
        <f aca="false">FALSE()</f>
        <v>0</v>
      </c>
      <c r="AH17" s="1"/>
      <c r="AI17" s="18" t="n">
        <f aca="false">IF($B17="","",$AP$3)</f>
        <v>31</v>
      </c>
      <c r="AJ17" s="18" t="n">
        <f aca="false">IF($B17="","",COUNTIF(C17:AG17,TRUE()))</f>
        <v>0</v>
      </c>
      <c r="AK17" s="18" t="n">
        <f aca="false">IF($B17="","",AI17-AJ17)</f>
        <v>31</v>
      </c>
      <c r="AL17" s="19" t="n">
        <f aca="false">IF($B17="","",AJ17/AI17)</f>
        <v>0</v>
      </c>
      <c r="AM17" s="20" t="n">
        <f aca="false">IF($B17="","",AJ17/AI17)</f>
        <v>0</v>
      </c>
      <c r="AN17" s="21" t="n">
        <f aca="false">IF($B17="",-1,AM17-ROW()/100000)</f>
        <v>-0.00017</v>
      </c>
      <c r="AO17" s="1"/>
    </row>
    <row r="18" customFormat="false" ht="18" hidden="false" customHeight="true" outlineLevel="0" collapsed="false">
      <c r="A18" s="1"/>
      <c r="B18" s="16" t="s">
        <v>36</v>
      </c>
      <c r="C18" s="17" t="b">
        <f aca="false">FALSE()</f>
        <v>0</v>
      </c>
      <c r="D18" s="17" t="b">
        <f aca="false">FALSE()</f>
        <v>0</v>
      </c>
      <c r="E18" s="17" t="b">
        <f aca="false">FALSE()</f>
        <v>0</v>
      </c>
      <c r="F18" s="17" t="b">
        <f aca="false">FALSE()</f>
        <v>0</v>
      </c>
      <c r="G18" s="17" t="b">
        <f aca="false">FALSE()</f>
        <v>0</v>
      </c>
      <c r="H18" s="17" t="b">
        <f aca="false">FALSE()</f>
        <v>0</v>
      </c>
      <c r="I18" s="17" t="b">
        <f aca="false">FALSE()</f>
        <v>0</v>
      </c>
      <c r="J18" s="17" t="b">
        <f aca="false">FALSE()</f>
        <v>0</v>
      </c>
      <c r="K18" s="17" t="b">
        <f aca="false">FALSE()</f>
        <v>0</v>
      </c>
      <c r="L18" s="17" t="b">
        <f aca="false">FALSE()</f>
        <v>0</v>
      </c>
      <c r="M18" s="17" t="b">
        <f aca="false">FALSE()</f>
        <v>0</v>
      </c>
      <c r="N18" s="17" t="b">
        <f aca="false">FALSE()</f>
        <v>0</v>
      </c>
      <c r="O18" s="17" t="b">
        <f aca="false">FALSE()</f>
        <v>0</v>
      </c>
      <c r="P18" s="17" t="b">
        <f aca="false">FALSE()</f>
        <v>0</v>
      </c>
      <c r="Q18" s="17" t="b">
        <f aca="false">FALSE()</f>
        <v>0</v>
      </c>
      <c r="R18" s="17" t="b">
        <f aca="false">FALSE()</f>
        <v>0</v>
      </c>
      <c r="S18" s="17" t="b">
        <f aca="false">FALSE()</f>
        <v>0</v>
      </c>
      <c r="T18" s="17" t="b">
        <f aca="false">FALSE()</f>
        <v>0</v>
      </c>
      <c r="U18" s="17" t="b">
        <f aca="false">FALSE()</f>
        <v>0</v>
      </c>
      <c r="V18" s="17" t="b">
        <f aca="false">FALSE()</f>
        <v>0</v>
      </c>
      <c r="W18" s="17" t="b">
        <f aca="false">FALSE()</f>
        <v>0</v>
      </c>
      <c r="X18" s="17" t="b">
        <f aca="false">FALSE()</f>
        <v>0</v>
      </c>
      <c r="Y18" s="17" t="b">
        <f aca="false">FALSE()</f>
        <v>0</v>
      </c>
      <c r="Z18" s="17" t="b">
        <f aca="false">FALSE()</f>
        <v>0</v>
      </c>
      <c r="AA18" s="17" t="b">
        <f aca="false">FALSE()</f>
        <v>0</v>
      </c>
      <c r="AB18" s="17" t="b">
        <f aca="false">FALSE()</f>
        <v>0</v>
      </c>
      <c r="AC18" s="17" t="b">
        <f aca="false">FALSE()</f>
        <v>0</v>
      </c>
      <c r="AD18" s="17" t="b">
        <f aca="false">FALSE()</f>
        <v>0</v>
      </c>
      <c r="AE18" s="17" t="b">
        <f aca="false">FALSE()</f>
        <v>0</v>
      </c>
      <c r="AF18" s="17" t="b">
        <f aca="false">FALSE()</f>
        <v>0</v>
      </c>
      <c r="AG18" s="17" t="b">
        <f aca="false">FALSE()</f>
        <v>0</v>
      </c>
      <c r="AH18" s="1"/>
      <c r="AI18" s="18" t="n">
        <f aca="false">IF($B18="","",$AP$3)</f>
        <v>31</v>
      </c>
      <c r="AJ18" s="18" t="n">
        <f aca="false">IF($B18="","",COUNTIF(C18:AG18,TRUE()))</f>
        <v>0</v>
      </c>
      <c r="AK18" s="18" t="n">
        <f aca="false">IF($B18="","",AI18-AJ18)</f>
        <v>31</v>
      </c>
      <c r="AL18" s="19" t="n">
        <f aca="false">IF($B18="","",AJ18/AI18)</f>
        <v>0</v>
      </c>
      <c r="AM18" s="20" t="n">
        <f aca="false">IF($B18="","",AJ18/AI18)</f>
        <v>0</v>
      </c>
      <c r="AN18" s="21" t="n">
        <f aca="false">IF($B18="",-1,AM18-ROW()/100000)</f>
        <v>-0.00018</v>
      </c>
      <c r="AO18" s="1"/>
    </row>
    <row r="19" customFormat="false" ht="18" hidden="false" customHeight="true" outlineLevel="0" collapsed="false">
      <c r="A19" s="1"/>
      <c r="B19" s="16" t="s">
        <v>37</v>
      </c>
      <c r="C19" s="17" t="b">
        <f aca="false">FALSE()</f>
        <v>0</v>
      </c>
      <c r="D19" s="17" t="b">
        <f aca="false">FALSE()</f>
        <v>0</v>
      </c>
      <c r="E19" s="17" t="b">
        <f aca="false">FALSE()</f>
        <v>0</v>
      </c>
      <c r="F19" s="17" t="b">
        <f aca="false">FALSE()</f>
        <v>0</v>
      </c>
      <c r="G19" s="17" t="b">
        <f aca="false">FALSE()</f>
        <v>0</v>
      </c>
      <c r="H19" s="17" t="b">
        <f aca="false">FALSE()</f>
        <v>0</v>
      </c>
      <c r="I19" s="17" t="b">
        <f aca="false">FALSE()</f>
        <v>0</v>
      </c>
      <c r="J19" s="17" t="b">
        <f aca="false">FALSE()</f>
        <v>0</v>
      </c>
      <c r="K19" s="17" t="b">
        <f aca="false">FALSE()</f>
        <v>0</v>
      </c>
      <c r="L19" s="17" t="b">
        <f aca="false">FALSE()</f>
        <v>0</v>
      </c>
      <c r="M19" s="17" t="b">
        <f aca="false">FALSE()</f>
        <v>0</v>
      </c>
      <c r="N19" s="17" t="b">
        <f aca="false">FALSE()</f>
        <v>0</v>
      </c>
      <c r="O19" s="17" t="b">
        <f aca="false">FALSE()</f>
        <v>0</v>
      </c>
      <c r="P19" s="17" t="b">
        <f aca="false">FALSE()</f>
        <v>0</v>
      </c>
      <c r="Q19" s="17" t="b">
        <f aca="false">FALSE()</f>
        <v>0</v>
      </c>
      <c r="R19" s="17" t="b">
        <f aca="false">FALSE()</f>
        <v>0</v>
      </c>
      <c r="S19" s="17" t="b">
        <f aca="false">FALSE()</f>
        <v>0</v>
      </c>
      <c r="T19" s="17" t="b">
        <f aca="false">FALSE()</f>
        <v>0</v>
      </c>
      <c r="U19" s="17" t="b">
        <f aca="false">FALSE()</f>
        <v>0</v>
      </c>
      <c r="V19" s="17" t="b">
        <f aca="false">FALSE()</f>
        <v>0</v>
      </c>
      <c r="W19" s="17" t="b">
        <f aca="false">FALSE()</f>
        <v>0</v>
      </c>
      <c r="X19" s="17" t="b">
        <f aca="false">FALSE()</f>
        <v>0</v>
      </c>
      <c r="Y19" s="17" t="b">
        <f aca="false">FALSE()</f>
        <v>0</v>
      </c>
      <c r="Z19" s="17" t="b">
        <f aca="false">FALSE()</f>
        <v>0</v>
      </c>
      <c r="AA19" s="17" t="b">
        <f aca="false">FALSE()</f>
        <v>0</v>
      </c>
      <c r="AB19" s="17" t="b">
        <f aca="false">FALSE()</f>
        <v>0</v>
      </c>
      <c r="AC19" s="17" t="b">
        <f aca="false">FALSE()</f>
        <v>0</v>
      </c>
      <c r="AD19" s="17" t="b">
        <f aca="false">FALSE()</f>
        <v>0</v>
      </c>
      <c r="AE19" s="17" t="b">
        <f aca="false">FALSE()</f>
        <v>0</v>
      </c>
      <c r="AF19" s="17" t="b">
        <f aca="false">FALSE()</f>
        <v>0</v>
      </c>
      <c r="AG19" s="17" t="b">
        <f aca="false">FALSE()</f>
        <v>0</v>
      </c>
      <c r="AH19" s="1"/>
      <c r="AI19" s="18" t="n">
        <f aca="false">IF($B19="","",$AP$3)</f>
        <v>31</v>
      </c>
      <c r="AJ19" s="18" t="n">
        <f aca="false">IF($B19="","",COUNTIF(C19:AG19,TRUE()))</f>
        <v>0</v>
      </c>
      <c r="AK19" s="18" t="n">
        <f aca="false">IF($B19="","",AI19-AJ19)</f>
        <v>31</v>
      </c>
      <c r="AL19" s="19" t="n">
        <f aca="false">IF($B19="","",AJ19/AI19)</f>
        <v>0</v>
      </c>
      <c r="AM19" s="20" t="n">
        <f aca="false">IF($B19="","",AJ19/AI19)</f>
        <v>0</v>
      </c>
      <c r="AN19" s="21" t="n">
        <f aca="false">IF($B19="",-1,AM19-ROW()/100000)</f>
        <v>-0.00019</v>
      </c>
      <c r="AO19" s="1"/>
    </row>
    <row r="20" customFormat="false" ht="18" hidden="false" customHeight="true" outlineLevel="0" collapsed="false">
      <c r="A20" s="1"/>
      <c r="B20" s="16" t="s">
        <v>38</v>
      </c>
      <c r="C20" s="17" t="b">
        <f aca="false">FALSE()</f>
        <v>0</v>
      </c>
      <c r="D20" s="17" t="b">
        <f aca="false">FALSE()</f>
        <v>0</v>
      </c>
      <c r="E20" s="17" t="b">
        <f aca="false">FALSE()</f>
        <v>0</v>
      </c>
      <c r="F20" s="17" t="b">
        <f aca="false">FALSE()</f>
        <v>0</v>
      </c>
      <c r="G20" s="17" t="b">
        <f aca="false">FALSE()</f>
        <v>0</v>
      </c>
      <c r="H20" s="17" t="b">
        <f aca="false">FALSE()</f>
        <v>0</v>
      </c>
      <c r="I20" s="17" t="b">
        <f aca="false">FALSE()</f>
        <v>0</v>
      </c>
      <c r="J20" s="17" t="b">
        <f aca="false">FALSE()</f>
        <v>0</v>
      </c>
      <c r="K20" s="17" t="b">
        <f aca="false">FALSE()</f>
        <v>0</v>
      </c>
      <c r="L20" s="17" t="b">
        <f aca="false">FALSE()</f>
        <v>0</v>
      </c>
      <c r="M20" s="17" t="b">
        <f aca="false">FALSE()</f>
        <v>0</v>
      </c>
      <c r="N20" s="17" t="b">
        <f aca="false">FALSE()</f>
        <v>0</v>
      </c>
      <c r="O20" s="17" t="b">
        <f aca="false">FALSE()</f>
        <v>0</v>
      </c>
      <c r="P20" s="17" t="b">
        <f aca="false">FALSE()</f>
        <v>0</v>
      </c>
      <c r="Q20" s="17" t="b">
        <f aca="false">FALSE()</f>
        <v>0</v>
      </c>
      <c r="R20" s="17" t="b">
        <f aca="false">FALSE()</f>
        <v>0</v>
      </c>
      <c r="S20" s="17" t="b">
        <f aca="false">FALSE()</f>
        <v>0</v>
      </c>
      <c r="T20" s="17" t="b">
        <f aca="false">FALSE()</f>
        <v>0</v>
      </c>
      <c r="U20" s="17" t="b">
        <f aca="false">FALSE()</f>
        <v>0</v>
      </c>
      <c r="V20" s="17" t="b">
        <f aca="false">FALSE()</f>
        <v>0</v>
      </c>
      <c r="W20" s="17" t="b">
        <f aca="false">FALSE()</f>
        <v>0</v>
      </c>
      <c r="X20" s="17" t="b">
        <f aca="false">FALSE()</f>
        <v>0</v>
      </c>
      <c r="Y20" s="17" t="b">
        <f aca="false">FALSE()</f>
        <v>0</v>
      </c>
      <c r="Z20" s="17" t="b">
        <f aca="false">FALSE()</f>
        <v>0</v>
      </c>
      <c r="AA20" s="17" t="b">
        <f aca="false">FALSE()</f>
        <v>0</v>
      </c>
      <c r="AB20" s="17" t="b">
        <f aca="false">FALSE()</f>
        <v>0</v>
      </c>
      <c r="AC20" s="17" t="b">
        <f aca="false">FALSE()</f>
        <v>0</v>
      </c>
      <c r="AD20" s="17" t="b">
        <f aca="false">FALSE()</f>
        <v>0</v>
      </c>
      <c r="AE20" s="17" t="b">
        <f aca="false">FALSE()</f>
        <v>0</v>
      </c>
      <c r="AF20" s="17" t="b">
        <f aca="false">FALSE()</f>
        <v>0</v>
      </c>
      <c r="AG20" s="17" t="b">
        <f aca="false">FALSE()</f>
        <v>0</v>
      </c>
      <c r="AH20" s="1"/>
      <c r="AI20" s="18" t="n">
        <f aca="false">IF($B20="","",$AP$3)</f>
        <v>31</v>
      </c>
      <c r="AJ20" s="18" t="n">
        <f aca="false">IF($B20="","",COUNTIF(C20:AG20,TRUE()))</f>
        <v>0</v>
      </c>
      <c r="AK20" s="18" t="n">
        <f aca="false">IF($B20="","",AI20-AJ20)</f>
        <v>31</v>
      </c>
      <c r="AL20" s="19" t="n">
        <f aca="false">IF($B20="","",AJ20/AI20)</f>
        <v>0</v>
      </c>
      <c r="AM20" s="20" t="n">
        <f aca="false">IF($B20="","",AJ20/AI20)</f>
        <v>0</v>
      </c>
      <c r="AN20" s="21" t="n">
        <f aca="false">IF($B20="",-1,AM20-ROW()/100000)</f>
        <v>-0.0002</v>
      </c>
      <c r="AO20" s="1"/>
    </row>
    <row r="21" customFormat="false" ht="18" hidden="false" customHeight="true" outlineLevel="0" collapsed="false">
      <c r="A21" s="1"/>
      <c r="B21" s="16" t="s">
        <v>39</v>
      </c>
      <c r="C21" s="17" t="b">
        <f aca="false">FALSE()</f>
        <v>0</v>
      </c>
      <c r="D21" s="17" t="b">
        <f aca="false">FALSE()</f>
        <v>0</v>
      </c>
      <c r="E21" s="17" t="b">
        <f aca="false">FALSE()</f>
        <v>0</v>
      </c>
      <c r="F21" s="17" t="b">
        <f aca="false">FALSE()</f>
        <v>0</v>
      </c>
      <c r="G21" s="17" t="b">
        <f aca="false">FALSE()</f>
        <v>0</v>
      </c>
      <c r="H21" s="17" t="b">
        <f aca="false">FALSE()</f>
        <v>0</v>
      </c>
      <c r="I21" s="17" t="b">
        <f aca="false">FALSE()</f>
        <v>0</v>
      </c>
      <c r="J21" s="17" t="b">
        <f aca="false">FALSE()</f>
        <v>0</v>
      </c>
      <c r="K21" s="17" t="b">
        <f aca="false">FALSE()</f>
        <v>0</v>
      </c>
      <c r="L21" s="17" t="b">
        <f aca="false">FALSE()</f>
        <v>0</v>
      </c>
      <c r="M21" s="17" t="b">
        <f aca="false">FALSE()</f>
        <v>0</v>
      </c>
      <c r="N21" s="17" t="b">
        <f aca="false">FALSE()</f>
        <v>0</v>
      </c>
      <c r="O21" s="17" t="b">
        <f aca="false">FALSE()</f>
        <v>0</v>
      </c>
      <c r="P21" s="17" t="b">
        <f aca="false">FALSE()</f>
        <v>0</v>
      </c>
      <c r="Q21" s="17" t="b">
        <f aca="false">FALSE()</f>
        <v>0</v>
      </c>
      <c r="R21" s="17" t="b">
        <f aca="false">FALSE()</f>
        <v>0</v>
      </c>
      <c r="S21" s="17" t="b">
        <f aca="false">FALSE()</f>
        <v>0</v>
      </c>
      <c r="T21" s="17" t="b">
        <f aca="false">FALSE()</f>
        <v>0</v>
      </c>
      <c r="U21" s="17" t="b">
        <f aca="false">FALSE()</f>
        <v>0</v>
      </c>
      <c r="V21" s="17" t="b">
        <f aca="false">FALSE()</f>
        <v>0</v>
      </c>
      <c r="W21" s="17" t="b">
        <f aca="false">FALSE()</f>
        <v>0</v>
      </c>
      <c r="X21" s="17" t="b">
        <f aca="false">FALSE()</f>
        <v>0</v>
      </c>
      <c r="Y21" s="17" t="b">
        <f aca="false">FALSE()</f>
        <v>0</v>
      </c>
      <c r="Z21" s="17" t="b">
        <f aca="false">FALSE()</f>
        <v>0</v>
      </c>
      <c r="AA21" s="17" t="b">
        <f aca="false">FALSE()</f>
        <v>0</v>
      </c>
      <c r="AB21" s="17" t="b">
        <f aca="false">FALSE()</f>
        <v>0</v>
      </c>
      <c r="AC21" s="17" t="b">
        <f aca="false">FALSE()</f>
        <v>0</v>
      </c>
      <c r="AD21" s="17" t="b">
        <f aca="false">FALSE()</f>
        <v>0</v>
      </c>
      <c r="AE21" s="17" t="b">
        <f aca="false">FALSE()</f>
        <v>0</v>
      </c>
      <c r="AF21" s="17" t="b">
        <f aca="false">FALSE()</f>
        <v>0</v>
      </c>
      <c r="AG21" s="17" t="b">
        <f aca="false">FALSE()</f>
        <v>0</v>
      </c>
      <c r="AH21" s="1"/>
      <c r="AI21" s="18" t="n">
        <f aca="false">IF($B21="","",$AP$3)</f>
        <v>31</v>
      </c>
      <c r="AJ21" s="18" t="n">
        <f aca="false">IF($B21="","",COUNTIF(C21:AG21,TRUE()))</f>
        <v>0</v>
      </c>
      <c r="AK21" s="18" t="n">
        <f aca="false">IF($B21="","",AI21-AJ21)</f>
        <v>31</v>
      </c>
      <c r="AL21" s="19" t="n">
        <f aca="false">IF($B21="","",AJ21/AI21)</f>
        <v>0</v>
      </c>
      <c r="AM21" s="20" t="n">
        <f aca="false">IF($B21="","",AJ21/AI21)</f>
        <v>0</v>
      </c>
      <c r="AN21" s="21" t="n">
        <f aca="false">IF($B21="",-1,AM21-ROW()/100000)</f>
        <v>-0.00021</v>
      </c>
      <c r="AO21" s="1"/>
    </row>
    <row r="22" customFormat="false" ht="18" hidden="false" customHeight="true" outlineLevel="0" collapsed="false">
      <c r="A22" s="1"/>
      <c r="B22" s="16" t="s">
        <v>40</v>
      </c>
      <c r="C22" s="17" t="b">
        <f aca="false">FALSE()</f>
        <v>0</v>
      </c>
      <c r="D22" s="17" t="b">
        <f aca="false">FALSE()</f>
        <v>0</v>
      </c>
      <c r="E22" s="17" t="b">
        <f aca="false">FALSE()</f>
        <v>0</v>
      </c>
      <c r="F22" s="17" t="b">
        <f aca="false">FALSE()</f>
        <v>0</v>
      </c>
      <c r="G22" s="17" t="b">
        <f aca="false">FALSE()</f>
        <v>0</v>
      </c>
      <c r="H22" s="17" t="b">
        <f aca="false">FALSE()</f>
        <v>0</v>
      </c>
      <c r="I22" s="17" t="b">
        <f aca="false">FALSE()</f>
        <v>0</v>
      </c>
      <c r="J22" s="17" t="b">
        <f aca="false">FALSE()</f>
        <v>0</v>
      </c>
      <c r="K22" s="17" t="b">
        <f aca="false">FALSE()</f>
        <v>0</v>
      </c>
      <c r="L22" s="17" t="b">
        <f aca="false">FALSE()</f>
        <v>0</v>
      </c>
      <c r="M22" s="17" t="b">
        <f aca="false">FALSE()</f>
        <v>0</v>
      </c>
      <c r="N22" s="17" t="b">
        <f aca="false">FALSE()</f>
        <v>0</v>
      </c>
      <c r="O22" s="17" t="b">
        <f aca="false">FALSE()</f>
        <v>0</v>
      </c>
      <c r="P22" s="17" t="b">
        <f aca="false">FALSE()</f>
        <v>0</v>
      </c>
      <c r="Q22" s="17" t="b">
        <f aca="false">FALSE()</f>
        <v>0</v>
      </c>
      <c r="R22" s="17" t="b">
        <f aca="false">FALSE()</f>
        <v>0</v>
      </c>
      <c r="S22" s="17" t="b">
        <f aca="false">FALSE()</f>
        <v>0</v>
      </c>
      <c r="T22" s="17" t="b">
        <f aca="false">FALSE()</f>
        <v>0</v>
      </c>
      <c r="U22" s="17" t="b">
        <f aca="false">FALSE()</f>
        <v>0</v>
      </c>
      <c r="V22" s="17" t="b">
        <f aca="false">FALSE()</f>
        <v>0</v>
      </c>
      <c r="W22" s="17" t="b">
        <f aca="false">FALSE()</f>
        <v>0</v>
      </c>
      <c r="X22" s="17" t="b">
        <f aca="false">FALSE()</f>
        <v>0</v>
      </c>
      <c r="Y22" s="17" t="b">
        <f aca="false">FALSE()</f>
        <v>0</v>
      </c>
      <c r="Z22" s="17" t="b">
        <f aca="false">FALSE()</f>
        <v>0</v>
      </c>
      <c r="AA22" s="17" t="b">
        <f aca="false">FALSE()</f>
        <v>0</v>
      </c>
      <c r="AB22" s="17" t="b">
        <f aca="false">FALSE()</f>
        <v>0</v>
      </c>
      <c r="AC22" s="17" t="b">
        <f aca="false">FALSE()</f>
        <v>0</v>
      </c>
      <c r="AD22" s="17" t="b">
        <f aca="false">FALSE()</f>
        <v>0</v>
      </c>
      <c r="AE22" s="17" t="b">
        <f aca="false">FALSE()</f>
        <v>0</v>
      </c>
      <c r="AF22" s="17" t="b">
        <f aca="false">FALSE()</f>
        <v>0</v>
      </c>
      <c r="AG22" s="17" t="b">
        <f aca="false">FALSE()</f>
        <v>0</v>
      </c>
      <c r="AH22" s="1"/>
      <c r="AI22" s="18" t="n">
        <f aca="false">IF($B22="","",$AP$3)</f>
        <v>31</v>
      </c>
      <c r="AJ22" s="18" t="n">
        <f aca="false">IF($B22="","",COUNTIF(C22:AG22,TRUE()))</f>
        <v>0</v>
      </c>
      <c r="AK22" s="18" t="n">
        <f aca="false">IF($B22="","",AI22-AJ22)</f>
        <v>31</v>
      </c>
      <c r="AL22" s="19" t="n">
        <f aca="false">IF($B22="","",AJ22/AI22)</f>
        <v>0</v>
      </c>
      <c r="AM22" s="20" t="n">
        <f aca="false">IF($B22="","",AJ22/AI22)</f>
        <v>0</v>
      </c>
      <c r="AN22" s="21" t="n">
        <f aca="false">IF($B22="",-1,AM22-ROW()/100000)</f>
        <v>-0.00022</v>
      </c>
      <c r="AO22" s="1"/>
    </row>
    <row r="23" customFormat="false" ht="18" hidden="false" customHeight="true" outlineLevel="0" collapsed="false">
      <c r="A23" s="1"/>
      <c r="B23" s="16" t="s">
        <v>41</v>
      </c>
      <c r="C23" s="17" t="b">
        <f aca="false">FALSE()</f>
        <v>0</v>
      </c>
      <c r="D23" s="17" t="b">
        <f aca="false">FALSE()</f>
        <v>0</v>
      </c>
      <c r="E23" s="17" t="b">
        <f aca="false">FALSE()</f>
        <v>0</v>
      </c>
      <c r="F23" s="17" t="b">
        <f aca="false">FALSE()</f>
        <v>0</v>
      </c>
      <c r="G23" s="17" t="b">
        <f aca="false">FALSE()</f>
        <v>0</v>
      </c>
      <c r="H23" s="17" t="b">
        <f aca="false">FALSE()</f>
        <v>0</v>
      </c>
      <c r="I23" s="17" t="b">
        <f aca="false">FALSE()</f>
        <v>0</v>
      </c>
      <c r="J23" s="17" t="b">
        <f aca="false">FALSE()</f>
        <v>0</v>
      </c>
      <c r="K23" s="17" t="b">
        <f aca="false">FALSE()</f>
        <v>0</v>
      </c>
      <c r="L23" s="17" t="b">
        <f aca="false">FALSE()</f>
        <v>0</v>
      </c>
      <c r="M23" s="17" t="b">
        <f aca="false">FALSE()</f>
        <v>0</v>
      </c>
      <c r="N23" s="17" t="b">
        <f aca="false">FALSE()</f>
        <v>0</v>
      </c>
      <c r="O23" s="17" t="b">
        <f aca="false">FALSE()</f>
        <v>0</v>
      </c>
      <c r="P23" s="17" t="b">
        <f aca="false">FALSE()</f>
        <v>0</v>
      </c>
      <c r="Q23" s="17" t="b">
        <f aca="false">FALSE()</f>
        <v>0</v>
      </c>
      <c r="R23" s="17" t="b">
        <f aca="false">FALSE()</f>
        <v>0</v>
      </c>
      <c r="S23" s="17" t="b">
        <f aca="false">FALSE()</f>
        <v>0</v>
      </c>
      <c r="T23" s="17" t="b">
        <f aca="false">FALSE()</f>
        <v>0</v>
      </c>
      <c r="U23" s="17" t="b">
        <f aca="false">FALSE()</f>
        <v>0</v>
      </c>
      <c r="V23" s="17" t="b">
        <f aca="false">FALSE()</f>
        <v>0</v>
      </c>
      <c r="W23" s="17" t="b">
        <f aca="false">FALSE()</f>
        <v>0</v>
      </c>
      <c r="X23" s="17" t="b">
        <f aca="false">FALSE()</f>
        <v>0</v>
      </c>
      <c r="Y23" s="17" t="b">
        <f aca="false">FALSE()</f>
        <v>0</v>
      </c>
      <c r="Z23" s="17" t="b">
        <f aca="false">FALSE()</f>
        <v>0</v>
      </c>
      <c r="AA23" s="17" t="b">
        <f aca="false">FALSE()</f>
        <v>0</v>
      </c>
      <c r="AB23" s="17" t="b">
        <f aca="false">FALSE()</f>
        <v>0</v>
      </c>
      <c r="AC23" s="17" t="b">
        <f aca="false">FALSE()</f>
        <v>0</v>
      </c>
      <c r="AD23" s="17" t="b">
        <f aca="false">FALSE()</f>
        <v>0</v>
      </c>
      <c r="AE23" s="17" t="b">
        <f aca="false">FALSE()</f>
        <v>0</v>
      </c>
      <c r="AF23" s="17" t="b">
        <f aca="false">FALSE()</f>
        <v>0</v>
      </c>
      <c r="AG23" s="17" t="b">
        <f aca="false">FALSE()</f>
        <v>0</v>
      </c>
      <c r="AH23" s="1"/>
      <c r="AI23" s="18" t="n">
        <f aca="false">IF($B23="","",$AP$3)</f>
        <v>31</v>
      </c>
      <c r="AJ23" s="18" t="n">
        <f aca="false">IF($B23="","",COUNTIF(C23:AG23,TRUE()))</f>
        <v>0</v>
      </c>
      <c r="AK23" s="18" t="n">
        <f aca="false">IF($B23="","",AI23-AJ23)</f>
        <v>31</v>
      </c>
      <c r="AL23" s="19" t="n">
        <f aca="false">IF($B23="","",AJ23/AI23)</f>
        <v>0</v>
      </c>
      <c r="AM23" s="20" t="n">
        <f aca="false">IF($B23="","",AJ23/AI23)</f>
        <v>0</v>
      </c>
      <c r="AN23" s="21" t="n">
        <f aca="false">IF($B23="",-1,AM23-ROW()/100000)</f>
        <v>-0.00023</v>
      </c>
      <c r="AO23" s="1"/>
    </row>
    <row r="24" customFormat="false" ht="18" hidden="false" customHeight="true" outlineLevel="0" collapsed="false">
      <c r="A24" s="1"/>
      <c r="B24" s="16" t="s">
        <v>42</v>
      </c>
      <c r="C24" s="17" t="b">
        <f aca="false">FALSE()</f>
        <v>0</v>
      </c>
      <c r="D24" s="17" t="b">
        <f aca="false">FALSE()</f>
        <v>0</v>
      </c>
      <c r="E24" s="17" t="b">
        <f aca="false">FALSE()</f>
        <v>0</v>
      </c>
      <c r="F24" s="17" t="b">
        <f aca="false">FALSE()</f>
        <v>0</v>
      </c>
      <c r="G24" s="17" t="b">
        <f aca="false">FALSE()</f>
        <v>0</v>
      </c>
      <c r="H24" s="17" t="b">
        <f aca="false">FALSE()</f>
        <v>0</v>
      </c>
      <c r="I24" s="17" t="b">
        <f aca="false">FALSE()</f>
        <v>0</v>
      </c>
      <c r="J24" s="17" t="b">
        <f aca="false">FALSE()</f>
        <v>0</v>
      </c>
      <c r="K24" s="17" t="b">
        <f aca="false">FALSE()</f>
        <v>0</v>
      </c>
      <c r="L24" s="17" t="b">
        <f aca="false">FALSE()</f>
        <v>0</v>
      </c>
      <c r="M24" s="17" t="b">
        <f aca="false">FALSE()</f>
        <v>0</v>
      </c>
      <c r="N24" s="17" t="b">
        <f aca="false">FALSE()</f>
        <v>0</v>
      </c>
      <c r="O24" s="17" t="b">
        <f aca="false">FALSE()</f>
        <v>0</v>
      </c>
      <c r="P24" s="17" t="b">
        <f aca="false">FALSE()</f>
        <v>0</v>
      </c>
      <c r="Q24" s="17" t="b">
        <f aca="false">FALSE()</f>
        <v>0</v>
      </c>
      <c r="R24" s="17" t="b">
        <f aca="false">FALSE()</f>
        <v>0</v>
      </c>
      <c r="S24" s="17" t="b">
        <f aca="false">FALSE()</f>
        <v>0</v>
      </c>
      <c r="T24" s="17" t="b">
        <f aca="false">FALSE()</f>
        <v>0</v>
      </c>
      <c r="U24" s="17" t="b">
        <f aca="false">FALSE()</f>
        <v>0</v>
      </c>
      <c r="V24" s="17" t="b">
        <f aca="false">FALSE()</f>
        <v>0</v>
      </c>
      <c r="W24" s="17" t="b">
        <f aca="false">FALSE()</f>
        <v>0</v>
      </c>
      <c r="X24" s="17" t="b">
        <f aca="false">FALSE()</f>
        <v>0</v>
      </c>
      <c r="Y24" s="17" t="b">
        <f aca="false">FALSE()</f>
        <v>0</v>
      </c>
      <c r="Z24" s="17" t="b">
        <f aca="false">FALSE()</f>
        <v>0</v>
      </c>
      <c r="AA24" s="17" t="b">
        <f aca="false">FALSE()</f>
        <v>0</v>
      </c>
      <c r="AB24" s="17" t="b">
        <f aca="false">FALSE()</f>
        <v>0</v>
      </c>
      <c r="AC24" s="17" t="b">
        <f aca="false">FALSE()</f>
        <v>0</v>
      </c>
      <c r="AD24" s="17" t="b">
        <f aca="false">FALSE()</f>
        <v>0</v>
      </c>
      <c r="AE24" s="17" t="b">
        <f aca="false">FALSE()</f>
        <v>0</v>
      </c>
      <c r="AF24" s="17" t="b">
        <f aca="false">FALSE()</f>
        <v>0</v>
      </c>
      <c r="AG24" s="17" t="b">
        <f aca="false">FALSE()</f>
        <v>0</v>
      </c>
      <c r="AH24" s="1"/>
      <c r="AI24" s="18" t="n">
        <f aca="false">IF($B24="","",$AP$3)</f>
        <v>31</v>
      </c>
      <c r="AJ24" s="18" t="n">
        <f aca="false">IF($B24="","",COUNTIF(C24:AG24,TRUE()))</f>
        <v>0</v>
      </c>
      <c r="AK24" s="18" t="n">
        <f aca="false">IF($B24="","",AI24-AJ24)</f>
        <v>31</v>
      </c>
      <c r="AL24" s="19" t="n">
        <f aca="false">IF($B24="","",AJ24/AI24)</f>
        <v>0</v>
      </c>
      <c r="AM24" s="20" t="n">
        <f aca="false">IF($B24="","",AJ24/AI24)</f>
        <v>0</v>
      </c>
      <c r="AN24" s="21" t="n">
        <f aca="false">IF($B24="",-1,AM24-ROW()/100000)</f>
        <v>-0.00024</v>
      </c>
      <c r="AO24" s="1"/>
    </row>
    <row r="25" customFormat="false" ht="18" hidden="false" customHeight="true" outlineLevel="0" collapsed="false">
      <c r="A25" s="1"/>
      <c r="B25" s="16" t="s">
        <v>43</v>
      </c>
      <c r="C25" s="17" t="b">
        <f aca="false">FALSE()</f>
        <v>0</v>
      </c>
      <c r="D25" s="17" t="b">
        <f aca="false">FALSE()</f>
        <v>0</v>
      </c>
      <c r="E25" s="17" t="b">
        <f aca="false">FALSE()</f>
        <v>0</v>
      </c>
      <c r="F25" s="17" t="b">
        <f aca="false">FALSE()</f>
        <v>0</v>
      </c>
      <c r="G25" s="17" t="b">
        <f aca="false">FALSE()</f>
        <v>0</v>
      </c>
      <c r="H25" s="17" t="b">
        <f aca="false">FALSE()</f>
        <v>0</v>
      </c>
      <c r="I25" s="17" t="b">
        <f aca="false">FALSE()</f>
        <v>0</v>
      </c>
      <c r="J25" s="17" t="b">
        <f aca="false">FALSE()</f>
        <v>0</v>
      </c>
      <c r="K25" s="17" t="b">
        <f aca="false">FALSE()</f>
        <v>0</v>
      </c>
      <c r="L25" s="17" t="b">
        <f aca="false">FALSE()</f>
        <v>0</v>
      </c>
      <c r="M25" s="17" t="b">
        <f aca="false">FALSE()</f>
        <v>0</v>
      </c>
      <c r="N25" s="17" t="b">
        <f aca="false">FALSE()</f>
        <v>0</v>
      </c>
      <c r="O25" s="17" t="b">
        <f aca="false">FALSE()</f>
        <v>0</v>
      </c>
      <c r="P25" s="17" t="b">
        <f aca="false">FALSE()</f>
        <v>0</v>
      </c>
      <c r="Q25" s="17" t="b">
        <f aca="false">FALSE()</f>
        <v>0</v>
      </c>
      <c r="R25" s="17" t="b">
        <f aca="false">FALSE()</f>
        <v>0</v>
      </c>
      <c r="S25" s="17" t="b">
        <f aca="false">FALSE()</f>
        <v>0</v>
      </c>
      <c r="T25" s="17" t="b">
        <f aca="false">FALSE()</f>
        <v>0</v>
      </c>
      <c r="U25" s="17" t="b">
        <f aca="false">FALSE()</f>
        <v>0</v>
      </c>
      <c r="V25" s="17" t="b">
        <f aca="false">FALSE()</f>
        <v>0</v>
      </c>
      <c r="W25" s="17" t="b">
        <f aca="false">FALSE()</f>
        <v>0</v>
      </c>
      <c r="X25" s="17" t="b">
        <f aca="false">FALSE()</f>
        <v>0</v>
      </c>
      <c r="Y25" s="17" t="b">
        <f aca="false">FALSE()</f>
        <v>0</v>
      </c>
      <c r="Z25" s="17" t="b">
        <f aca="false">FALSE()</f>
        <v>0</v>
      </c>
      <c r="AA25" s="17" t="b">
        <f aca="false">FALSE()</f>
        <v>0</v>
      </c>
      <c r="AB25" s="17" t="b">
        <f aca="false">FALSE()</f>
        <v>0</v>
      </c>
      <c r="AC25" s="17" t="b">
        <f aca="false">FALSE()</f>
        <v>0</v>
      </c>
      <c r="AD25" s="17" t="b">
        <f aca="false">FALSE()</f>
        <v>0</v>
      </c>
      <c r="AE25" s="17" t="b">
        <f aca="false">FALSE()</f>
        <v>0</v>
      </c>
      <c r="AF25" s="17" t="b">
        <f aca="false">FALSE()</f>
        <v>0</v>
      </c>
      <c r="AG25" s="17" t="b">
        <f aca="false">FALSE()</f>
        <v>0</v>
      </c>
      <c r="AH25" s="1"/>
      <c r="AI25" s="18" t="n">
        <f aca="false">IF($B25="","",$AP$3)</f>
        <v>31</v>
      </c>
      <c r="AJ25" s="18" t="n">
        <f aca="false">IF($B25="","",COUNTIF(C25:AG25,TRUE()))</f>
        <v>0</v>
      </c>
      <c r="AK25" s="18" t="n">
        <f aca="false">IF($B25="","",AI25-AJ25)</f>
        <v>31</v>
      </c>
      <c r="AL25" s="19" t="n">
        <f aca="false">IF($B25="","",AJ25/AI25)</f>
        <v>0</v>
      </c>
      <c r="AM25" s="20" t="n">
        <f aca="false">IF($B25="","",AJ25/AI25)</f>
        <v>0</v>
      </c>
      <c r="AN25" s="21" t="n">
        <f aca="false">IF($B25="",-1,AM25-ROW()/100000)</f>
        <v>-0.00025</v>
      </c>
      <c r="AO25" s="1"/>
    </row>
    <row r="26" customFormat="false" ht="18" hidden="false" customHeight="true" outlineLevel="0" collapsed="false">
      <c r="A26" s="1"/>
      <c r="B26" s="16" t="s">
        <v>44</v>
      </c>
      <c r="C26" s="17" t="b">
        <f aca="false">FALSE()</f>
        <v>0</v>
      </c>
      <c r="D26" s="17" t="b">
        <f aca="false">FALSE()</f>
        <v>0</v>
      </c>
      <c r="E26" s="17" t="b">
        <f aca="false">FALSE()</f>
        <v>0</v>
      </c>
      <c r="F26" s="17" t="b">
        <f aca="false">FALSE()</f>
        <v>0</v>
      </c>
      <c r="G26" s="17" t="b">
        <f aca="false">FALSE()</f>
        <v>0</v>
      </c>
      <c r="H26" s="17" t="b">
        <f aca="false">FALSE()</f>
        <v>0</v>
      </c>
      <c r="I26" s="17" t="b">
        <f aca="false">FALSE()</f>
        <v>0</v>
      </c>
      <c r="J26" s="17" t="b">
        <f aca="false">FALSE()</f>
        <v>0</v>
      </c>
      <c r="K26" s="17" t="b">
        <f aca="false">FALSE()</f>
        <v>0</v>
      </c>
      <c r="L26" s="17" t="b">
        <f aca="false">FALSE()</f>
        <v>0</v>
      </c>
      <c r="M26" s="17" t="b">
        <f aca="false">FALSE()</f>
        <v>0</v>
      </c>
      <c r="N26" s="17" t="b">
        <f aca="false">FALSE()</f>
        <v>0</v>
      </c>
      <c r="O26" s="17" t="b">
        <f aca="false">FALSE()</f>
        <v>0</v>
      </c>
      <c r="P26" s="17" t="b">
        <f aca="false">FALSE()</f>
        <v>0</v>
      </c>
      <c r="Q26" s="17" t="b">
        <f aca="false">FALSE()</f>
        <v>0</v>
      </c>
      <c r="R26" s="17" t="b">
        <f aca="false">FALSE()</f>
        <v>0</v>
      </c>
      <c r="S26" s="17" t="b">
        <f aca="false">FALSE()</f>
        <v>0</v>
      </c>
      <c r="T26" s="17" t="b">
        <f aca="false">FALSE()</f>
        <v>0</v>
      </c>
      <c r="U26" s="17" t="b">
        <f aca="false">FALSE()</f>
        <v>0</v>
      </c>
      <c r="V26" s="17" t="b">
        <f aca="false">FALSE()</f>
        <v>0</v>
      </c>
      <c r="W26" s="17" t="b">
        <f aca="false">FALSE()</f>
        <v>0</v>
      </c>
      <c r="X26" s="17" t="b">
        <f aca="false">FALSE()</f>
        <v>0</v>
      </c>
      <c r="Y26" s="17" t="b">
        <f aca="false">FALSE()</f>
        <v>0</v>
      </c>
      <c r="Z26" s="17" t="b">
        <f aca="false">FALSE()</f>
        <v>0</v>
      </c>
      <c r="AA26" s="17" t="b">
        <f aca="false">FALSE()</f>
        <v>0</v>
      </c>
      <c r="AB26" s="17" t="b">
        <f aca="false">FALSE()</f>
        <v>0</v>
      </c>
      <c r="AC26" s="17" t="b">
        <f aca="false">FALSE()</f>
        <v>0</v>
      </c>
      <c r="AD26" s="17" t="b">
        <f aca="false">FALSE()</f>
        <v>0</v>
      </c>
      <c r="AE26" s="17" t="b">
        <f aca="false">FALSE()</f>
        <v>0</v>
      </c>
      <c r="AF26" s="17" t="b">
        <f aca="false">FALSE()</f>
        <v>0</v>
      </c>
      <c r="AG26" s="17" t="b">
        <f aca="false">FALSE()</f>
        <v>0</v>
      </c>
      <c r="AH26" s="1"/>
      <c r="AI26" s="18" t="n">
        <f aca="false">IF($B26="","",$AP$3)</f>
        <v>31</v>
      </c>
      <c r="AJ26" s="18" t="n">
        <f aca="false">IF($B26="","",COUNTIF(C26:AG26,TRUE()))</f>
        <v>0</v>
      </c>
      <c r="AK26" s="18" t="n">
        <f aca="false">IF($B26="","",AI26-AJ26)</f>
        <v>31</v>
      </c>
      <c r="AL26" s="19" t="n">
        <f aca="false">IF($B26="","",AJ26/AI26)</f>
        <v>0</v>
      </c>
      <c r="AM26" s="20" t="n">
        <f aca="false">IF($B26="","",AJ26/AI26)</f>
        <v>0</v>
      </c>
      <c r="AN26" s="21" t="n">
        <f aca="false">IF($B26="",-1,AM26-ROW()/100000)</f>
        <v>-0.00026</v>
      </c>
      <c r="AO26" s="1"/>
    </row>
    <row r="27" customFormat="false" ht="18" hidden="false" customHeight="true" outlineLevel="0" collapsed="false">
      <c r="A27" s="1"/>
      <c r="B27" s="16"/>
      <c r="C27" s="17" t="b">
        <f aca="false">FALSE()</f>
        <v>0</v>
      </c>
      <c r="D27" s="17" t="b">
        <f aca="false">FALSE()</f>
        <v>0</v>
      </c>
      <c r="E27" s="17" t="b">
        <f aca="false">FALSE()</f>
        <v>0</v>
      </c>
      <c r="F27" s="17" t="b">
        <f aca="false">FALSE()</f>
        <v>0</v>
      </c>
      <c r="G27" s="17" t="b">
        <f aca="false">FALSE()</f>
        <v>0</v>
      </c>
      <c r="H27" s="17" t="b">
        <f aca="false">FALSE()</f>
        <v>0</v>
      </c>
      <c r="I27" s="17" t="b">
        <f aca="false">FALSE()</f>
        <v>0</v>
      </c>
      <c r="J27" s="17" t="b">
        <f aca="false">FALSE()</f>
        <v>0</v>
      </c>
      <c r="K27" s="17" t="b">
        <f aca="false">FALSE()</f>
        <v>0</v>
      </c>
      <c r="L27" s="17" t="b">
        <f aca="false">FALSE()</f>
        <v>0</v>
      </c>
      <c r="M27" s="17" t="b">
        <f aca="false">FALSE()</f>
        <v>0</v>
      </c>
      <c r="N27" s="17" t="b">
        <f aca="false">FALSE()</f>
        <v>0</v>
      </c>
      <c r="O27" s="17" t="b">
        <f aca="false">FALSE()</f>
        <v>0</v>
      </c>
      <c r="P27" s="17" t="b">
        <f aca="false">FALSE()</f>
        <v>0</v>
      </c>
      <c r="Q27" s="17" t="b">
        <f aca="false">FALSE()</f>
        <v>0</v>
      </c>
      <c r="R27" s="17" t="b">
        <f aca="false">FALSE()</f>
        <v>0</v>
      </c>
      <c r="S27" s="17" t="b">
        <f aca="false">FALSE()</f>
        <v>0</v>
      </c>
      <c r="T27" s="17" t="b">
        <f aca="false">FALSE()</f>
        <v>0</v>
      </c>
      <c r="U27" s="17" t="b">
        <f aca="false">FALSE()</f>
        <v>0</v>
      </c>
      <c r="V27" s="17" t="b">
        <f aca="false">FALSE()</f>
        <v>0</v>
      </c>
      <c r="W27" s="17" t="b">
        <f aca="false">FALSE()</f>
        <v>0</v>
      </c>
      <c r="X27" s="17" t="b">
        <f aca="false">FALSE()</f>
        <v>0</v>
      </c>
      <c r="Y27" s="17" t="b">
        <f aca="false">FALSE()</f>
        <v>0</v>
      </c>
      <c r="Z27" s="17" t="b">
        <f aca="false">FALSE()</f>
        <v>0</v>
      </c>
      <c r="AA27" s="17" t="b">
        <f aca="false">FALSE()</f>
        <v>0</v>
      </c>
      <c r="AB27" s="17" t="b">
        <f aca="false">FALSE()</f>
        <v>0</v>
      </c>
      <c r="AC27" s="17" t="b">
        <f aca="false">FALSE()</f>
        <v>0</v>
      </c>
      <c r="AD27" s="17" t="b">
        <f aca="false">FALSE()</f>
        <v>0</v>
      </c>
      <c r="AE27" s="17" t="b">
        <f aca="false">FALSE()</f>
        <v>0</v>
      </c>
      <c r="AF27" s="17" t="b">
        <f aca="false">FALSE()</f>
        <v>0</v>
      </c>
      <c r="AG27" s="17" t="b">
        <f aca="false">FALSE()</f>
        <v>0</v>
      </c>
      <c r="AH27" s="1"/>
      <c r="AI27" s="18" t="str">
        <f aca="false">IF($B27="","",$AP$3)</f>
        <v/>
      </c>
      <c r="AJ27" s="18" t="str">
        <f aca="false">IF($B27="","",COUNTIF(C27:AG27,TRUE()))</f>
        <v/>
      </c>
      <c r="AK27" s="18" t="str">
        <f aca="false">IF($B27="","",AI27-AJ27)</f>
        <v/>
      </c>
      <c r="AL27" s="19" t="str">
        <f aca="false">IF($B27="","",AJ27/AI27)</f>
        <v/>
      </c>
      <c r="AM27" s="20" t="str">
        <f aca="false">IF($B27="","",AJ27/AI27)</f>
        <v/>
      </c>
      <c r="AN27" s="1" t="n">
        <f aca="false">IF($B27="",-1,AM27-ROW()/100000)</f>
        <v>-1</v>
      </c>
      <c r="AO27" s="1"/>
    </row>
    <row r="28" customFormat="false" ht="18" hidden="false" customHeight="true" outlineLevel="0" collapsed="false">
      <c r="A28" s="1"/>
      <c r="B28" s="16"/>
      <c r="C28" s="17" t="b">
        <f aca="false">FALSE()</f>
        <v>0</v>
      </c>
      <c r="D28" s="17" t="b">
        <f aca="false">FALSE()</f>
        <v>0</v>
      </c>
      <c r="E28" s="17" t="b">
        <f aca="false">FALSE()</f>
        <v>0</v>
      </c>
      <c r="F28" s="17" t="b">
        <f aca="false">FALSE()</f>
        <v>0</v>
      </c>
      <c r="G28" s="17" t="b">
        <f aca="false">FALSE()</f>
        <v>0</v>
      </c>
      <c r="H28" s="17" t="b">
        <f aca="false">FALSE()</f>
        <v>0</v>
      </c>
      <c r="I28" s="17" t="b">
        <f aca="false">FALSE()</f>
        <v>0</v>
      </c>
      <c r="J28" s="17" t="b">
        <f aca="false">FALSE()</f>
        <v>0</v>
      </c>
      <c r="K28" s="17" t="b">
        <f aca="false">FALSE()</f>
        <v>0</v>
      </c>
      <c r="L28" s="17" t="b">
        <f aca="false">FALSE()</f>
        <v>0</v>
      </c>
      <c r="M28" s="17" t="b">
        <f aca="false">FALSE()</f>
        <v>0</v>
      </c>
      <c r="N28" s="17" t="b">
        <f aca="false">FALSE()</f>
        <v>0</v>
      </c>
      <c r="O28" s="17" t="b">
        <f aca="false">FALSE()</f>
        <v>0</v>
      </c>
      <c r="P28" s="17" t="b">
        <f aca="false">FALSE()</f>
        <v>0</v>
      </c>
      <c r="Q28" s="17" t="b">
        <f aca="false">FALSE()</f>
        <v>0</v>
      </c>
      <c r="R28" s="17" t="b">
        <f aca="false">FALSE()</f>
        <v>0</v>
      </c>
      <c r="S28" s="17" t="b">
        <f aca="false">FALSE()</f>
        <v>0</v>
      </c>
      <c r="T28" s="17" t="b">
        <f aca="false">FALSE()</f>
        <v>0</v>
      </c>
      <c r="U28" s="17" t="b">
        <f aca="false">FALSE()</f>
        <v>0</v>
      </c>
      <c r="V28" s="17" t="b">
        <f aca="false">FALSE()</f>
        <v>0</v>
      </c>
      <c r="W28" s="17" t="b">
        <f aca="false">FALSE()</f>
        <v>0</v>
      </c>
      <c r="X28" s="17" t="b">
        <f aca="false">FALSE()</f>
        <v>0</v>
      </c>
      <c r="Y28" s="17" t="b">
        <f aca="false">FALSE()</f>
        <v>0</v>
      </c>
      <c r="Z28" s="17" t="b">
        <f aca="false">FALSE()</f>
        <v>0</v>
      </c>
      <c r="AA28" s="17" t="b">
        <f aca="false">FALSE()</f>
        <v>0</v>
      </c>
      <c r="AB28" s="17" t="b">
        <f aca="false">FALSE()</f>
        <v>0</v>
      </c>
      <c r="AC28" s="17" t="b">
        <f aca="false">FALSE()</f>
        <v>0</v>
      </c>
      <c r="AD28" s="17" t="b">
        <f aca="false">FALSE()</f>
        <v>0</v>
      </c>
      <c r="AE28" s="17" t="b">
        <f aca="false">FALSE()</f>
        <v>0</v>
      </c>
      <c r="AF28" s="17" t="b">
        <f aca="false">FALSE()</f>
        <v>0</v>
      </c>
      <c r="AG28" s="17" t="b">
        <f aca="false">FALSE()</f>
        <v>0</v>
      </c>
      <c r="AH28" s="1"/>
      <c r="AI28" s="18" t="str">
        <f aca="false">IF($B28="","",$AP$3)</f>
        <v/>
      </c>
      <c r="AJ28" s="18" t="str">
        <f aca="false">IF($B28="","",COUNTIF(C28:AG28,TRUE()))</f>
        <v/>
      </c>
      <c r="AK28" s="18" t="str">
        <f aca="false">IF($B28="","",AI28-AJ28)</f>
        <v/>
      </c>
      <c r="AL28" s="19" t="str">
        <f aca="false">IF($B28="","",AJ28/AI28)</f>
        <v/>
      </c>
      <c r="AM28" s="20" t="str">
        <f aca="false">IF($B28="","",AJ28/AI28)</f>
        <v/>
      </c>
      <c r="AN28" s="1" t="n">
        <f aca="false">IF($B28="",-1,AM28-ROW()/100000)</f>
        <v>-1</v>
      </c>
      <c r="AO28" s="1"/>
    </row>
    <row r="29" customFormat="false" ht="15" hidden="false" customHeight="false" outlineLevel="0" collapsed="false">
      <c r="A29" s="1"/>
      <c r="B29" s="22" t="s">
        <v>45</v>
      </c>
      <c r="C29" s="23" t="n">
        <f aca="false">IF(OR(C$16="",SUMPRODUCT(--(LEN($B$17:$B$28)&gt;0))=0),"",SUMPRODUCT(($B$17:$B$28&lt;&gt;"")*(C$17:C$28=TRUE()))/SUMPRODUCT(--(LEN($B$17:$B$28)&gt;0)))</f>
        <v>0</v>
      </c>
      <c r="D29" s="23" t="n">
        <f aca="false">IF(OR(D$16="",SUMPRODUCT(--(LEN($B$17:$B$28)&gt;0))=0),"",SUMPRODUCT(($B$17:$B$28&lt;&gt;"")*(D$17:D$28=TRUE()))/SUMPRODUCT(--(LEN($B$17:$B$28)&gt;0)))</f>
        <v>0</v>
      </c>
      <c r="E29" s="23" t="n">
        <f aca="false">IF(OR(E$16="",SUMPRODUCT(--(LEN($B$17:$B$28)&gt;0))=0),"",SUMPRODUCT(($B$17:$B$28&lt;&gt;"")*(E$17:E$28=TRUE()))/SUMPRODUCT(--(LEN($B$17:$B$28)&gt;0)))</f>
        <v>0</v>
      </c>
      <c r="F29" s="23" t="n">
        <f aca="false">IF(OR(F$16="",SUMPRODUCT(--(LEN($B$17:$B$28)&gt;0))=0),"",SUMPRODUCT(($B$17:$B$28&lt;&gt;"")*(F$17:F$28=TRUE()))/SUMPRODUCT(--(LEN($B$17:$B$28)&gt;0)))</f>
        <v>0</v>
      </c>
      <c r="G29" s="23" t="n">
        <f aca="false">IF(OR(G$16="",SUMPRODUCT(--(LEN($B$17:$B$28)&gt;0))=0),"",SUMPRODUCT(($B$17:$B$28&lt;&gt;"")*(G$17:G$28=TRUE()))/SUMPRODUCT(--(LEN($B$17:$B$28)&gt;0)))</f>
        <v>0</v>
      </c>
      <c r="H29" s="23" t="n">
        <f aca="false">IF(OR(H$16="",SUMPRODUCT(--(LEN($B$17:$B$28)&gt;0))=0),"",SUMPRODUCT(($B$17:$B$28&lt;&gt;"")*(H$17:H$28=TRUE()))/SUMPRODUCT(--(LEN($B$17:$B$28)&gt;0)))</f>
        <v>0</v>
      </c>
      <c r="I29" s="23" t="n">
        <f aca="false">IF(OR(I$16="",SUMPRODUCT(--(LEN($B$17:$B$28)&gt;0))=0),"",SUMPRODUCT(($B$17:$B$28&lt;&gt;"")*(I$17:I$28=TRUE()))/SUMPRODUCT(--(LEN($B$17:$B$28)&gt;0)))</f>
        <v>0</v>
      </c>
      <c r="J29" s="23" t="n">
        <f aca="false">IF(OR(J$16="",SUMPRODUCT(--(LEN($B$17:$B$28)&gt;0))=0),"",SUMPRODUCT(($B$17:$B$28&lt;&gt;"")*(J$17:J$28=TRUE()))/SUMPRODUCT(--(LEN($B$17:$B$28)&gt;0)))</f>
        <v>0</v>
      </c>
      <c r="K29" s="23" t="n">
        <f aca="false">IF(OR(K$16="",SUMPRODUCT(--(LEN($B$17:$B$28)&gt;0))=0),"",SUMPRODUCT(($B$17:$B$28&lt;&gt;"")*(K$17:K$28=TRUE()))/SUMPRODUCT(--(LEN($B$17:$B$28)&gt;0)))</f>
        <v>0</v>
      </c>
      <c r="L29" s="23" t="n">
        <f aca="false">IF(OR(L$16="",SUMPRODUCT(--(LEN($B$17:$B$28)&gt;0))=0),"",SUMPRODUCT(($B$17:$B$28&lt;&gt;"")*(L$17:L$28=TRUE()))/SUMPRODUCT(--(LEN($B$17:$B$28)&gt;0)))</f>
        <v>0</v>
      </c>
      <c r="M29" s="23" t="n">
        <f aca="false">IF(OR(M$16="",SUMPRODUCT(--(LEN($B$17:$B$28)&gt;0))=0),"",SUMPRODUCT(($B$17:$B$28&lt;&gt;"")*(M$17:M$28=TRUE()))/SUMPRODUCT(--(LEN($B$17:$B$28)&gt;0)))</f>
        <v>0</v>
      </c>
      <c r="N29" s="23" t="n">
        <f aca="false">IF(OR(N$16="",SUMPRODUCT(--(LEN($B$17:$B$28)&gt;0))=0),"",SUMPRODUCT(($B$17:$B$28&lt;&gt;"")*(N$17:N$28=TRUE()))/SUMPRODUCT(--(LEN($B$17:$B$28)&gt;0)))</f>
        <v>0</v>
      </c>
      <c r="O29" s="23" t="n">
        <f aca="false">IF(OR(O$16="",SUMPRODUCT(--(LEN($B$17:$B$28)&gt;0))=0),"",SUMPRODUCT(($B$17:$B$28&lt;&gt;"")*(O$17:O$28=TRUE()))/SUMPRODUCT(--(LEN($B$17:$B$28)&gt;0)))</f>
        <v>0</v>
      </c>
      <c r="P29" s="23" t="n">
        <f aca="false">IF(OR(P$16="",SUMPRODUCT(--(LEN($B$17:$B$28)&gt;0))=0),"",SUMPRODUCT(($B$17:$B$28&lt;&gt;"")*(P$17:P$28=TRUE()))/SUMPRODUCT(--(LEN($B$17:$B$28)&gt;0)))</f>
        <v>0</v>
      </c>
      <c r="Q29" s="23" t="n">
        <f aca="false">IF(OR(Q$16="",SUMPRODUCT(--(LEN($B$17:$B$28)&gt;0))=0),"",SUMPRODUCT(($B$17:$B$28&lt;&gt;"")*(Q$17:Q$28=TRUE()))/SUMPRODUCT(--(LEN($B$17:$B$28)&gt;0)))</f>
        <v>0</v>
      </c>
      <c r="R29" s="23" t="n">
        <f aca="false">IF(OR(R$16="",SUMPRODUCT(--(LEN($B$17:$B$28)&gt;0))=0),"",SUMPRODUCT(($B$17:$B$28&lt;&gt;"")*(R$17:R$28=TRUE()))/SUMPRODUCT(--(LEN($B$17:$B$28)&gt;0)))</f>
        <v>0</v>
      </c>
      <c r="S29" s="23" t="n">
        <f aca="false">IF(OR(S$16="",SUMPRODUCT(--(LEN($B$17:$B$28)&gt;0))=0),"",SUMPRODUCT(($B$17:$B$28&lt;&gt;"")*(S$17:S$28=TRUE()))/SUMPRODUCT(--(LEN($B$17:$B$28)&gt;0)))</f>
        <v>0</v>
      </c>
      <c r="T29" s="23" t="n">
        <f aca="false">IF(OR(T$16="",SUMPRODUCT(--(LEN($B$17:$B$28)&gt;0))=0),"",SUMPRODUCT(($B$17:$B$28&lt;&gt;"")*(T$17:T$28=TRUE()))/SUMPRODUCT(--(LEN($B$17:$B$28)&gt;0)))</f>
        <v>0</v>
      </c>
      <c r="U29" s="23" t="n">
        <f aca="false">IF(OR(U$16="",SUMPRODUCT(--(LEN($B$17:$B$28)&gt;0))=0),"",SUMPRODUCT(($B$17:$B$28&lt;&gt;"")*(U$17:U$28=TRUE()))/SUMPRODUCT(--(LEN($B$17:$B$28)&gt;0)))</f>
        <v>0</v>
      </c>
      <c r="V29" s="23" t="n">
        <f aca="false">IF(OR(V$16="",SUMPRODUCT(--(LEN($B$17:$B$28)&gt;0))=0),"",SUMPRODUCT(($B$17:$B$28&lt;&gt;"")*(V$17:V$28=TRUE()))/SUMPRODUCT(--(LEN($B$17:$B$28)&gt;0)))</f>
        <v>0</v>
      </c>
      <c r="W29" s="23" t="n">
        <f aca="false">IF(OR(W$16="",SUMPRODUCT(--(LEN($B$17:$B$28)&gt;0))=0),"",SUMPRODUCT(($B$17:$B$28&lt;&gt;"")*(W$17:W$28=TRUE()))/SUMPRODUCT(--(LEN($B$17:$B$28)&gt;0)))</f>
        <v>0</v>
      </c>
      <c r="X29" s="23" t="n">
        <f aca="false">IF(OR(X$16="",SUMPRODUCT(--(LEN($B$17:$B$28)&gt;0))=0),"",SUMPRODUCT(($B$17:$B$28&lt;&gt;"")*(X$17:X$28=TRUE()))/SUMPRODUCT(--(LEN($B$17:$B$28)&gt;0)))</f>
        <v>0</v>
      </c>
      <c r="Y29" s="23" t="n">
        <f aca="false">IF(OR(Y$16="",SUMPRODUCT(--(LEN($B$17:$B$28)&gt;0))=0),"",SUMPRODUCT(($B$17:$B$28&lt;&gt;"")*(Y$17:Y$28=TRUE()))/SUMPRODUCT(--(LEN($B$17:$B$28)&gt;0)))</f>
        <v>0</v>
      </c>
      <c r="Z29" s="23" t="n">
        <f aca="false">IF(OR(Z$16="",SUMPRODUCT(--(LEN($B$17:$B$28)&gt;0))=0),"",SUMPRODUCT(($B$17:$B$28&lt;&gt;"")*(Z$17:Z$28=TRUE()))/SUMPRODUCT(--(LEN($B$17:$B$28)&gt;0)))</f>
        <v>0</v>
      </c>
      <c r="AA29" s="23" t="n">
        <f aca="false">IF(OR(AA$16="",SUMPRODUCT(--(LEN($B$17:$B$28)&gt;0))=0),"",SUMPRODUCT(($B$17:$B$28&lt;&gt;"")*(AA$17:AA$28=TRUE()))/SUMPRODUCT(--(LEN($B$17:$B$28)&gt;0)))</f>
        <v>0</v>
      </c>
      <c r="AB29" s="23" t="n">
        <f aca="false">IF(OR(AB$16="",SUMPRODUCT(--(LEN($B$17:$B$28)&gt;0))=0),"",SUMPRODUCT(($B$17:$B$28&lt;&gt;"")*(AB$17:AB$28=TRUE()))/SUMPRODUCT(--(LEN($B$17:$B$28)&gt;0)))</f>
        <v>0</v>
      </c>
      <c r="AC29" s="23" t="n">
        <f aca="false">IF(OR(AC$16="",SUMPRODUCT(--(LEN($B$17:$B$28)&gt;0))=0),"",SUMPRODUCT(($B$17:$B$28&lt;&gt;"")*(AC$17:AC$28=TRUE()))/SUMPRODUCT(--(LEN($B$17:$B$28)&gt;0)))</f>
        <v>0</v>
      </c>
      <c r="AD29" s="23" t="n">
        <f aca="false">IF(OR(AD$16="",SUMPRODUCT(--(LEN($B$17:$B$28)&gt;0))=0),"",SUMPRODUCT(($B$17:$B$28&lt;&gt;"")*(AD$17:AD$28=TRUE()))/SUMPRODUCT(--(LEN($B$17:$B$28)&gt;0)))</f>
        <v>0</v>
      </c>
      <c r="AE29" s="23" t="n">
        <f aca="false">IF(OR(AE$16="",SUMPRODUCT(--(LEN($B$17:$B$28)&gt;0))=0),"",SUMPRODUCT(($B$17:$B$28&lt;&gt;"")*(AE$17:AE$28=TRUE()))/SUMPRODUCT(--(LEN($B$17:$B$28)&gt;0)))</f>
        <v>0</v>
      </c>
      <c r="AF29" s="23" t="n">
        <f aca="false">IF(OR(AF$16="",SUMPRODUCT(--(LEN($B$17:$B$28)&gt;0))=0),"",SUMPRODUCT(($B$17:$B$28&lt;&gt;"")*(AF$17:AF$28=TRUE()))/SUMPRODUCT(--(LEN($B$17:$B$28)&gt;0)))</f>
        <v>0</v>
      </c>
      <c r="AG29" s="23" t="n">
        <f aca="false">IF(OR(AG$16="",SUMPRODUCT(--(LEN($B$17:$B$28)&gt;0))=0),"",SUMPRODUCT(($B$17:$B$28&lt;&gt;"")*(AG$17:AG$28=TRUE()))/SUMPRODUCT(--(LEN($B$17:$B$28)&gt;0)))</f>
        <v>0</v>
      </c>
      <c r="AH29" s="1"/>
      <c r="AI29" s="1"/>
      <c r="AJ29" s="1"/>
      <c r="AK29" s="1"/>
      <c r="AL29" s="1"/>
      <c r="AM29" s="1"/>
      <c r="AN29" s="1"/>
      <c r="AO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</row>
    <row r="31" customFormat="false" ht="15" hidden="false" customHeight="false" outlineLevel="0" collapsed="false">
      <c r="A31" s="1"/>
      <c r="B31" s="24"/>
      <c r="C31" s="12" t="s">
        <v>46</v>
      </c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"/>
      <c r="AI31" s="25" t="s">
        <v>47</v>
      </c>
      <c r="AJ31" s="25"/>
      <c r="AK31" s="25"/>
      <c r="AL31" s="25"/>
      <c r="AM31" s="25"/>
      <c r="AN31" s="1"/>
      <c r="AO31" s="1"/>
    </row>
    <row r="32" customFormat="false" ht="15.75" hidden="false" customHeight="true" outlineLevel="0" collapsed="false">
      <c r="A32" s="1"/>
      <c r="B32" s="7" t="s">
        <v>48</v>
      </c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1"/>
      <c r="AI32" s="27" t="n">
        <v>1</v>
      </c>
      <c r="AJ32" s="28" t="str">
        <f aca="false">IF(LARGE($AN$17:$AN$28,1)&lt;0,"",INDEX($B$17:$B$28,MATCH(LARGE($AN$17:$AN$28,1),$AN$17:$AN$28,0)))</f>
        <v/>
      </c>
      <c r="AK32" s="28"/>
      <c r="AL32" s="28"/>
      <c r="AM32" s="29" t="str">
        <f aca="false">IF(AJ32="","",INDEX($AM$17:$AM$28,MATCH(LARGE($AN$17:$AN$28,1),$AN$17:$AN$28,0)))</f>
        <v/>
      </c>
      <c r="AN32" s="1"/>
      <c r="AO32" s="1"/>
    </row>
    <row r="33" customFormat="false" ht="15.75" hidden="false" customHeight="true" outlineLevel="0" collapsed="false">
      <c r="A33" s="1"/>
      <c r="B33" s="7" t="s">
        <v>49</v>
      </c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1"/>
      <c r="AI33" s="27" t="n">
        <v>2</v>
      </c>
      <c r="AJ33" s="28" t="str">
        <f aca="false">IF(LARGE($AN$17:$AN$28,2)&lt;0,"",INDEX($B$17:$B$28,MATCH(LARGE($AN$17:$AN$28,2),$AN$17:$AN$28,0)))</f>
        <v/>
      </c>
      <c r="AK33" s="28"/>
      <c r="AL33" s="28"/>
      <c r="AM33" s="29" t="str">
        <f aca="false">IF(AJ33="","",INDEX($AM$17:$AM$28,MATCH(LARGE($AN$17:$AN$28,2),$AN$17:$AN$28,0)))</f>
        <v/>
      </c>
      <c r="AN33" s="1"/>
      <c r="AO33" s="1"/>
    </row>
    <row r="34" customFormat="false" ht="15.75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27" t="n">
        <v>3</v>
      </c>
      <c r="AJ34" s="28" t="str">
        <f aca="false">IF(LARGE($AN$17:$AN$28,3)&lt;0,"",INDEX($B$17:$B$28,MATCH(LARGE($AN$17:$AN$28,3),$AN$17:$AN$28,0)))</f>
        <v/>
      </c>
      <c r="AK34" s="28"/>
      <c r="AL34" s="28"/>
      <c r="AM34" s="29" t="str">
        <f aca="false">IF(AJ34="","",INDEX($AM$17:$AM$28,MATCH(LARGE($AN$17:$AN$28,3),$AN$17:$AN$28,0)))</f>
        <v/>
      </c>
      <c r="AN34" s="1"/>
      <c r="AO34" s="1"/>
    </row>
    <row r="35" customFormat="false" ht="15.75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27" t="n">
        <v>4</v>
      </c>
      <c r="AJ35" s="28" t="str">
        <f aca="false">IF(LARGE($AN$17:$AN$28,4)&lt;0,"",INDEX($B$17:$B$28,MATCH(LARGE($AN$17:$AN$28,4),$AN$17:$AN$28,0)))</f>
        <v/>
      </c>
      <c r="AK35" s="28"/>
      <c r="AL35" s="28"/>
      <c r="AM35" s="29" t="str">
        <f aca="false">IF(AJ35="","",INDEX($AM$17:$AM$28,MATCH(LARGE($AN$17:$AN$28,4),$AN$17:$AN$28,0)))</f>
        <v/>
      </c>
      <c r="AN35" s="1"/>
      <c r="AO35" s="1"/>
    </row>
    <row r="36" customFormat="false" ht="15.75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27" t="n">
        <v>5</v>
      </c>
      <c r="AJ36" s="28" t="str">
        <f aca="false">IF(LARGE($AN$17:$AN$28,5)&lt;0,"",INDEX($B$17:$B$28,MATCH(LARGE($AN$17:$AN$28,5),$AN$17:$AN$28,0)))</f>
        <v/>
      </c>
      <c r="AK36" s="28"/>
      <c r="AL36" s="28"/>
      <c r="AM36" s="29" t="str">
        <f aca="false">IF(AJ36="","",INDEX($AM$17:$AM$28,MATCH(LARGE($AN$17:$AN$28,5),$AN$17:$AN$28,0)))</f>
        <v/>
      </c>
      <c r="AN36" s="1"/>
      <c r="AO36" s="1"/>
    </row>
    <row r="37" customFormat="false" ht="15.75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27" t="n">
        <v>6</v>
      </c>
      <c r="AJ37" s="28" t="str">
        <f aca="false">IF(LARGE($AN$17:$AN$28,6)&lt;0,"",INDEX($B$17:$B$28,MATCH(LARGE($AN$17:$AN$28,6),$AN$17:$AN$28,0)))</f>
        <v/>
      </c>
      <c r="AK37" s="28"/>
      <c r="AL37" s="28"/>
      <c r="AM37" s="29" t="str">
        <f aca="false">IF(AJ37="","",INDEX($AM$17:$AM$28,MATCH(LARGE($AN$17:$AN$28,6),$AN$17:$AN$28,0)))</f>
        <v/>
      </c>
      <c r="AN37" s="1"/>
      <c r="AO37" s="1"/>
    </row>
    <row r="38" customFormat="false" ht="15.75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27" t="n">
        <v>7</v>
      </c>
      <c r="AJ38" s="28" t="str">
        <f aca="false">IF(LARGE($AN$17:$AN$28,7)&lt;0,"",INDEX($B$17:$B$28,MATCH(LARGE($AN$17:$AN$28,7),$AN$17:$AN$28,0)))</f>
        <v/>
      </c>
      <c r="AK38" s="28"/>
      <c r="AL38" s="28"/>
      <c r="AM38" s="29" t="str">
        <f aca="false">IF(AJ38="","",INDEX($AM$17:$AM$28,MATCH(LARGE($AN$17:$AN$28,7),$AN$17:$AN$28,0)))</f>
        <v/>
      </c>
      <c r="AN38" s="1"/>
      <c r="AO38" s="1"/>
    </row>
    <row r="39" customFormat="false" ht="15.75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27" t="n">
        <v>8</v>
      </c>
      <c r="AJ39" s="28" t="str">
        <f aca="false">IF(LARGE($AN$17:$AN$28,8)&lt;0,"",INDEX($B$17:$B$28,MATCH(LARGE($AN$17:$AN$28,8),$AN$17:$AN$28,0)))</f>
        <v/>
      </c>
      <c r="AK39" s="28"/>
      <c r="AL39" s="28"/>
      <c r="AM39" s="29" t="str">
        <f aca="false">IF(AJ39="","",INDEX($AM$17:$AM$28,MATCH(LARGE($AN$17:$AN$28,8),$AN$17:$AN$28,0)))</f>
        <v/>
      </c>
      <c r="AN39" s="1"/>
      <c r="AO39" s="1"/>
    </row>
    <row r="40" customFormat="false" ht="15.75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27" t="n">
        <v>9</v>
      </c>
      <c r="AJ40" s="28" t="str">
        <f aca="false">IF(LARGE($AN$17:$AN$28,9)&lt;0,"",INDEX($B$17:$B$28,MATCH(LARGE($AN$17:$AN$28,9),$AN$17:$AN$28,0)))</f>
        <v/>
      </c>
      <c r="AK40" s="28"/>
      <c r="AL40" s="28"/>
      <c r="AM40" s="29" t="str">
        <f aca="false">IF(AJ40="","",INDEX($AM$17:$AM$28,MATCH(LARGE($AN$17:$AN$28,9),$AN$17:$AN$28,0)))</f>
        <v/>
      </c>
      <c r="AN40" s="1"/>
      <c r="AO40" s="1"/>
    </row>
    <row r="41" customFormat="false" ht="15.75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27" t="n">
        <v>10</v>
      </c>
      <c r="AJ41" s="28" t="str">
        <f aca="false">IF(LARGE($AN$17:$AN$28,10)&lt;0,"",INDEX($B$17:$B$28,MATCH(LARGE($AN$17:$AN$28,10),$AN$17:$AN$28,0)))</f>
        <v/>
      </c>
      <c r="AK41" s="28"/>
      <c r="AL41" s="28"/>
      <c r="AM41" s="29" t="str">
        <f aca="false">IF(AJ41="","",INDEX($AM$17:$AM$28,MATCH(LARGE($AN$17:$AN$28,10),$AN$17:$AN$28,0)))</f>
        <v/>
      </c>
      <c r="AN41" s="1"/>
      <c r="AO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</row>
    <row r="48" customFormat="false" ht="15" hidden="true" customHeight="false" outlineLevel="0" collapsed="false">
      <c r="A48" s="1"/>
      <c r="B48" s="1"/>
      <c r="C48" s="1" t="str">
        <f aca="false">IF(C$16="","",C$15)</f>
        <v>Tu</v>
      </c>
      <c r="D48" s="1" t="str">
        <f aca="false">IF(D$16="","",D$15)</f>
        <v>We</v>
      </c>
      <c r="E48" s="1" t="str">
        <f aca="false">IF(E$16="","",E$15)</f>
        <v>Th</v>
      </c>
      <c r="F48" s="1" t="str">
        <f aca="false">IF(F$16="","",F$15)</f>
        <v>Fr</v>
      </c>
      <c r="G48" s="1" t="str">
        <f aca="false">IF(G$16="","",G$15)</f>
        <v>Sa</v>
      </c>
      <c r="H48" s="1" t="str">
        <f aca="false">IF(H$16="","",H$15)</f>
        <v>Su</v>
      </c>
      <c r="I48" s="1" t="str">
        <f aca="false">IF(I$16="","",I$15)</f>
        <v>Mo</v>
      </c>
      <c r="J48" s="1" t="str">
        <f aca="false">IF(J$16="","",J$15)</f>
        <v>Tu</v>
      </c>
      <c r="K48" s="1" t="str">
        <f aca="false">IF(K$16="","",K$15)</f>
        <v>We</v>
      </c>
      <c r="L48" s="1" t="str">
        <f aca="false">IF(L$16="","",L$15)</f>
        <v>Th</v>
      </c>
      <c r="M48" s="1" t="str">
        <f aca="false">IF(M$16="","",M$15)</f>
        <v>Fr</v>
      </c>
      <c r="N48" s="1" t="str">
        <f aca="false">IF(N$16="","",N$15)</f>
        <v>Sa</v>
      </c>
      <c r="O48" s="1" t="str">
        <f aca="false">IF(O$16="","",O$15)</f>
        <v>Su</v>
      </c>
      <c r="P48" s="1" t="str">
        <f aca="false">IF(P$16="","",P$15)</f>
        <v>Mo</v>
      </c>
      <c r="Q48" s="1" t="str">
        <f aca="false">IF(Q$16="","",Q$15)</f>
        <v>Tu</v>
      </c>
      <c r="R48" s="1" t="str">
        <f aca="false">IF(R$16="","",R$15)</f>
        <v>We</v>
      </c>
      <c r="S48" s="1" t="str">
        <f aca="false">IF(S$16="","",S$15)</f>
        <v>Th</v>
      </c>
      <c r="T48" s="1" t="str">
        <f aca="false">IF(T$16="","",T$15)</f>
        <v>Fr</v>
      </c>
      <c r="U48" s="1" t="str">
        <f aca="false">IF(U$16="","",U$15)</f>
        <v>Sa</v>
      </c>
      <c r="V48" s="1" t="str">
        <f aca="false">IF(V$16="","",V$15)</f>
        <v>Su</v>
      </c>
      <c r="W48" s="1" t="str">
        <f aca="false">IF(W$16="","",W$15)</f>
        <v>Mo</v>
      </c>
      <c r="X48" s="1" t="str">
        <f aca="false">IF(X$16="","",X$15)</f>
        <v>Tu</v>
      </c>
      <c r="Y48" s="1" t="str">
        <f aca="false">IF(Y$16="","",Y$15)</f>
        <v>We</v>
      </c>
      <c r="Z48" s="1" t="str">
        <f aca="false">IF(Z$16="","",Z$15)</f>
        <v>Th</v>
      </c>
      <c r="AA48" s="1" t="str">
        <f aca="false">IF(AA$16="","",AA$15)</f>
        <v>Fr</v>
      </c>
      <c r="AB48" s="1" t="str">
        <f aca="false">IF(AB$16="","",AB$15)</f>
        <v>Sa</v>
      </c>
      <c r="AC48" s="1" t="str">
        <f aca="false">IF(AC$16="","",AC$15)</f>
        <v>Su</v>
      </c>
      <c r="AD48" s="1" t="str">
        <f aca="false">IF(AD$16="","",AD$15)</f>
        <v>Mo</v>
      </c>
      <c r="AE48" s="1" t="str">
        <f aca="false">IF(AE$16="","",AE$15)</f>
        <v>Tu</v>
      </c>
      <c r="AF48" s="1" t="str">
        <f aca="false">IF(AF$16="","",AF$15)</f>
        <v>We</v>
      </c>
      <c r="AG48" s="1" t="str">
        <f aca="false">IF(AG$16="","",AG$15)</f>
        <v>Th</v>
      </c>
      <c r="AH48" s="1"/>
      <c r="AI48" s="1"/>
      <c r="AJ48" s="1"/>
      <c r="AK48" s="1"/>
      <c r="AL48" s="1"/>
      <c r="AM48" s="1"/>
      <c r="AN48" s="1"/>
      <c r="AO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</row>
  </sheetData>
  <mergeCells count="31">
    <mergeCell ref="B2:B3"/>
    <mergeCell ref="C2:Z2"/>
    <mergeCell ref="AA2:AG2"/>
    <mergeCell ref="AI2:AJ2"/>
    <mergeCell ref="AK2:AM2"/>
    <mergeCell ref="AI3:AJ4"/>
    <mergeCell ref="AK3:AM4"/>
    <mergeCell ref="AI5:AJ5"/>
    <mergeCell ref="AI6:AJ7"/>
    <mergeCell ref="AI8:AJ8"/>
    <mergeCell ref="AI9:AJ10"/>
    <mergeCell ref="B10:B12"/>
    <mergeCell ref="B14:B16"/>
    <mergeCell ref="C14:I14"/>
    <mergeCell ref="J14:P14"/>
    <mergeCell ref="Q14:W14"/>
    <mergeCell ref="X14:AD14"/>
    <mergeCell ref="AE14:AG14"/>
    <mergeCell ref="AI14:AM15"/>
    <mergeCell ref="C31:AG31"/>
    <mergeCell ref="AI31:AM31"/>
    <mergeCell ref="AJ32:AL32"/>
    <mergeCell ref="AJ33:AL33"/>
    <mergeCell ref="AJ34:AL34"/>
    <mergeCell ref="AJ35:AL35"/>
    <mergeCell ref="AJ36:AL36"/>
    <mergeCell ref="AJ37:AL37"/>
    <mergeCell ref="AJ38:AL38"/>
    <mergeCell ref="AJ39:AL39"/>
    <mergeCell ref="AJ40:AL40"/>
    <mergeCell ref="AJ41:AL41"/>
  </mergeCells>
  <conditionalFormatting sqref="C17:AG28">
    <cfRule type="expression" priority="2" aboveAverage="0" equalAverage="0" bottom="0" percent="0" rank="0" text="" dxfId="0">
      <formula>C$16=""</formula>
    </cfRule>
    <cfRule type="expression" priority="3" aboveAverage="0" equalAverage="0" bottom="0" percent="0" rank="0" text="" dxfId="1">
      <formula>C17=1</formula>
    </cfRule>
    <cfRule type="expression" priority="4" aboveAverage="0" equalAverage="0" bottom="0" percent="0" rank="0" text="" dxfId="2">
      <formula>C17=0</formula>
    </cfRule>
  </conditionalFormatting>
  <conditionalFormatting sqref="C32:AG33">
    <cfRule type="expression" priority="5" aboveAverage="0" equalAverage="0" bottom="0" percent="0" rank="0" text="" dxfId="3">
      <formula>C$16=""</formula>
    </cfRule>
  </conditionalFormatting>
  <conditionalFormatting sqref="AL17:AL28">
    <cfRule type="dataBar" priority="6">
      <dataBar showValue="1" minLength="10" maxLength="90">
        <cfvo type="num" val="0"/>
        <cfvo type="num" val="1"/>
        <color rgb="FF1F2433"/>
      </dataBar>
      <extLst>
        <ext xmlns:x14="http://schemas.microsoft.com/office/spreadsheetml/2009/9/main" uri="{B025F937-C7B1-47D3-B67F-A62EFF666E3E}">
          <x14:id>{FEFC65E9-686A-4712-91E7-483285A7D885}</x14:id>
        </ext>
      </extLst>
    </cfRule>
  </conditionalFormatting>
  <dataValidations count="4">
    <dataValidation allowBlank="false" errorStyle="stop" operator="between" showDropDown="false" showErrorMessage="false" showInputMessage="false" sqref="B9" type="list">
      <formula1>"January,February,March,April,May,June,July,August,September,October,November,December"</formula1>
      <formula2>0</formula2>
    </dataValidation>
    <dataValidation allowBlank="true" errorStyle="stop" operator="between" showDropDown="false" showErrorMessage="false" showInputMessage="false" sqref="C17:AG28" type="list">
      <formula1>"TRUE,FALSE"</formula1>
      <formula2>0</formula2>
    </dataValidation>
    <dataValidation allowBlank="true" errorStyle="stop" operator="between" showDropDown="false" showErrorMessage="false" showInputMessage="false" sqref="C32:AG32" type="list">
      <formula1>"1,2,3,4,5,6,7,8,9,10"</formula1>
      <formula2>0</formula2>
    </dataValidation>
    <dataValidation allowBlank="true" errorStyle="stop" operator="between" showDropDown="false" showErrorMessage="false" showInputMessage="false" sqref="C33:AG33" type="list">
      <formula1>"0,1,2,3,4,5,6,7,8,9,10,11,12"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EFC65E9-686A-4712-91E7-483285A7D885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1F2433"/>
              <x14:axisColor rgb="FF000000"/>
            </x14:dataBar>
          </x14:cfRule>
          <xm:sqref>AL17:AL28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2026-10-23T04:11:23Z</dcterms:created>
  <dc:creator>openpyxl</dc:creator>
  <dc:description/>
  <dc:language>en-US</dc:language>
  <cp:lastModifiedBy/>
  <dcterms:modified xsi:type="dcterms:W3CDTF">2026-10-22T22:11:29Z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